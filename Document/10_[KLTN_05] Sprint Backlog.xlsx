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os/Desktop/CHÔT KLTN NHOM 5/"/>
    </mc:Choice>
  </mc:AlternateContent>
  <xr:revisionPtr revIDLastSave="0" documentId="13_ncr:1_{DD0098FB-8048-F542-BF75-2F3FEAF1CF4F}" xr6:coauthVersionLast="47" xr6:coauthVersionMax="47" xr10:uidLastSave="{00000000-0000-0000-0000-000000000000}"/>
  <bookViews>
    <workbookView xWindow="0" yWindow="0" windowWidth="51200" windowHeight="28800" activeTab="1" xr2:uid="{BA99985E-4DC4-4963-881F-FCA06F2B620D}"/>
  </bookViews>
  <sheets>
    <sheet name="Sprint1" sheetId="6" r:id="rId1"/>
    <sheet name="Sprint 2" sheetId="7" r:id="rId2"/>
    <sheet name="Báo cá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8" i="6" l="1"/>
  <c r="D12" i="7"/>
  <c r="D11" i="7"/>
  <c r="D10" i="7"/>
  <c r="C12" i="7"/>
  <c r="C10" i="7"/>
  <c r="C11" i="7"/>
  <c r="C13" i="7"/>
  <c r="D13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D167" i="7"/>
  <c r="AC90" i="7"/>
  <c r="E92" i="6"/>
  <c r="E90" i="7"/>
  <c r="D13" i="6"/>
  <c r="D14" i="6"/>
  <c r="D12" i="6"/>
  <c r="D11" i="6"/>
  <c r="C13" i="6"/>
  <c r="C12" i="6"/>
  <c r="C14" i="6"/>
  <c r="C11" i="6"/>
  <c r="AG92" i="6"/>
  <c r="AF92" i="6"/>
  <c r="AE92" i="6"/>
  <c r="AD92" i="6"/>
  <c r="AB92" i="6"/>
  <c r="AC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J8" i="3" l="1"/>
  <c r="I8" i="3"/>
  <c r="H8" i="3" l="1"/>
  <c r="G8" i="3"/>
  <c r="F8" i="3"/>
  <c r="E8" i="3"/>
  <c r="D8" i="3"/>
  <c r="F14" i="3" s="1"/>
  <c r="C8" i="3"/>
  <c r="F13" i="3" s="1"/>
</calcChain>
</file>

<file path=xl/sharedStrings.xml><?xml version="1.0" encoding="utf-8"?>
<sst xmlns="http://schemas.openxmlformats.org/spreadsheetml/2006/main" count="697" uniqueCount="92">
  <si>
    <t>Tên dự án :</t>
  </si>
  <si>
    <t>Tên module :</t>
  </si>
  <si>
    <t>Nhóm phát triển :</t>
  </si>
  <si>
    <t>Ngày bắt đầu :</t>
  </si>
  <si>
    <t>Ngày kết thúc :</t>
  </si>
  <si>
    <t>STT</t>
  </si>
  <si>
    <t>Tên thành viên</t>
  </si>
  <si>
    <t>Ước tính</t>
  </si>
  <si>
    <t>Thực tế</t>
  </si>
  <si>
    <t>Tổng</t>
  </si>
  <si>
    <t>Thành phần</t>
  </si>
  <si>
    <t>Tên nhiệm vụ</t>
  </si>
  <si>
    <t>Sprint 1</t>
  </si>
  <si>
    <t>Đăng nhập</t>
  </si>
  <si>
    <t>Quên mật khẩu</t>
  </si>
  <si>
    <t>Đặt lại mật khẩu</t>
  </si>
  <si>
    <t>Đặt phòng</t>
  </si>
  <si>
    <t>Báo cáo Sprint 1</t>
  </si>
  <si>
    <t>Sprint 2</t>
  </si>
  <si>
    <t>Quản lý phòng</t>
  </si>
  <si>
    <t>Quản lý dịch vụ</t>
  </si>
  <si>
    <t>Quản lý hóa đơn</t>
  </si>
  <si>
    <t>Thanh toán</t>
  </si>
  <si>
    <t>Quản lý thống kê</t>
  </si>
  <si>
    <t>Báo cáo dự án</t>
  </si>
  <si>
    <t>Tổng số</t>
  </si>
  <si>
    <t>Võ Tuấn Cường</t>
  </si>
  <si>
    <t>Kết thúc nhiệm vụ</t>
  </si>
  <si>
    <t>Giờ làm thêm</t>
  </si>
  <si>
    <t>Trễ</t>
  </si>
  <si>
    <t>Chậm tiến độ</t>
  </si>
  <si>
    <t>Trước thời hạn</t>
  </si>
  <si>
    <t>Trách nhiệm của thành viên</t>
  </si>
  <si>
    <t>Tạo Sprint Backlog</t>
  </si>
  <si>
    <t>Tạo tài liệu kế hoạch test sprint 1</t>
  </si>
  <si>
    <t>Thiết kế giao diện</t>
  </si>
  <si>
    <t>Trang chủ</t>
  </si>
  <si>
    <t xml:space="preserve">Đăng ký </t>
  </si>
  <si>
    <t>Quản lý tài khoản</t>
  </si>
  <si>
    <t>Review</t>
  </si>
  <si>
    <t>Coding</t>
  </si>
  <si>
    <t>Testing</t>
  </si>
  <si>
    <t>Fix Bugs</t>
  </si>
  <si>
    <t>Re-Testing</t>
  </si>
  <si>
    <t>Tìm kiếm phòng</t>
  </si>
  <si>
    <t>Thiết kế Test case</t>
  </si>
  <si>
    <t xml:space="preserve">Thiết kế cơ sở dữ liệu </t>
  </si>
  <si>
    <t>Báo cáo Sprint 2</t>
  </si>
  <si>
    <t>Sử dụng dịch vụ</t>
  </si>
  <si>
    <t>Quản lý người dùng</t>
  </si>
  <si>
    <t>Review test case</t>
  </si>
  <si>
    <t>Review code</t>
  </si>
  <si>
    <t>Bảng tổng hợp sprint 1</t>
  </si>
  <si>
    <t>Bảng tổng hợp sprint 2</t>
  </si>
  <si>
    <t>Mai Kiên Thành</t>
  </si>
  <si>
    <t>Huỳnh Văn Bá Thiện</t>
  </si>
  <si>
    <t>Trần Quốc Việt</t>
  </si>
  <si>
    <t>AIHotel-Pro Giải pháp quản lý khách sạn thông minh tích hợp chatbot, Predictive Analytics và thanh toán điện tử</t>
  </si>
  <si>
    <t>Nhóm 5</t>
  </si>
  <si>
    <t>Xem hóa đơn</t>
  </si>
  <si>
    <t>Xem phòng</t>
  </si>
  <si>
    <t>Reivew</t>
  </si>
  <si>
    <t>Họp review Sprint 1</t>
  </si>
  <si>
    <t>Rút ra bài học Sprint 1</t>
  </si>
  <si>
    <t>Họp lập kế hoạch Sprint 1</t>
  </si>
  <si>
    <t>Cả nhóm</t>
  </si>
  <si>
    <t>Cường, Thành</t>
  </si>
  <si>
    <t>Thiện, Việt</t>
  </si>
  <si>
    <t>Cường, Việt</t>
  </si>
  <si>
    <t>Thành, Thiện</t>
  </si>
  <si>
    <t>Cường</t>
  </si>
  <si>
    <t>Việt</t>
  </si>
  <si>
    <t xml:space="preserve">Thành </t>
  </si>
  <si>
    <t xml:space="preserve">Thiện </t>
  </si>
  <si>
    <t>Thiện</t>
  </si>
  <si>
    <t xml:space="preserve">Cường </t>
  </si>
  <si>
    <t>Thành</t>
  </si>
  <si>
    <t>Họp lập kế hoạch sprint 2</t>
  </si>
  <si>
    <t xml:space="preserve">Tạo sprint backlog </t>
  </si>
  <si>
    <t>Tạo tài liệu kế hoạch test cho sprint 2</t>
  </si>
  <si>
    <t>Thiết kế cơ sở dữ liệu</t>
  </si>
  <si>
    <t>Quản lý loại phòng</t>
  </si>
  <si>
    <t>Quản lý đặt phòng</t>
  </si>
  <si>
    <t>Quản lý phân quyền</t>
  </si>
  <si>
    <t>Tư vấn qua chatbot AI</t>
  </si>
  <si>
    <t>Review giao diện</t>
  </si>
  <si>
    <t>Tổng hợp kết quả test và báo cáo lỗi</t>
  </si>
  <si>
    <t>Kiểm tra lại sau khi fix bugs</t>
  </si>
  <si>
    <t>Họp review sprint 2</t>
  </si>
  <si>
    <t>Nhìn lại và rút ra bài học từ sprint 2</t>
  </si>
  <si>
    <t>Thành, Việt</t>
  </si>
  <si>
    <t>Cường, Thiện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</si>
</sst>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A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" fillId="8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4" fillId="10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1" fillId="13" borderId="0" xfId="0" applyFont="1" applyFill="1" applyAlignment="1">
      <alignment wrapText="1"/>
    </xf>
    <xf numFmtId="0" fontId="4" fillId="14" borderId="0" xfId="0" applyFont="1" applyFill="1"/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11" borderId="0" xfId="0" applyFont="1" applyFill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textRotation="90"/>
    </xf>
    <xf numFmtId="0" fontId="6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15" borderId="1" xfId="0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4" fontId="5" fillId="0" borderId="11" xfId="0" quotePrefix="1" applyNumberFormat="1" applyFont="1" applyBorder="1" applyAlignment="1">
      <alignment horizontal="center" vertical="center" textRotation="90"/>
    </xf>
    <xf numFmtId="14" fontId="5" fillId="0" borderId="11" xfId="0" applyNumberFormat="1" applyFont="1" applyBorder="1" applyAlignment="1">
      <alignment horizontal="center" vertical="center" textRotation="90"/>
    </xf>
    <xf numFmtId="0" fontId="1" fillId="14" borderId="0" xfId="0" applyFont="1" applyFill="1" applyAlignment="1">
      <alignment horizontal="center" vertical="center"/>
    </xf>
    <xf numFmtId="0" fontId="10" fillId="0" borderId="0" xfId="0" applyFont="1"/>
    <xf numFmtId="0" fontId="10" fillId="0" borderId="1" xfId="0" applyFont="1" applyBorder="1"/>
    <xf numFmtId="0" fontId="4" fillId="14" borderId="0" xfId="0" applyFont="1" applyFill="1" applyAlignment="1">
      <alignment horizontal="center"/>
    </xf>
    <xf numFmtId="14" fontId="5" fillId="0" borderId="13" xfId="0" applyNumberFormat="1" applyFont="1" applyBorder="1" applyAlignment="1">
      <alignment horizontal="center" vertical="center" textRotation="90"/>
    </xf>
    <xf numFmtId="0" fontId="5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/>
    <xf numFmtId="0" fontId="1" fillId="15" borderId="2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4" fillId="0" borderId="0" xfId="0" applyFont="1" applyFill="1" applyBorder="1" applyAlignment="1"/>
    <xf numFmtId="0" fontId="7" fillId="0" borderId="0" xfId="0" applyFont="1" applyFill="1" applyBorder="1" applyAlignment="1"/>
    <xf numFmtId="0" fontId="4" fillId="14" borderId="1" xfId="0" applyFont="1" applyFill="1" applyBorder="1" applyAlignment="1">
      <alignment horizontal="center"/>
    </xf>
    <xf numFmtId="0" fontId="5" fillId="0" borderId="1" xfId="0" applyFont="1" applyBorder="1"/>
    <xf numFmtId="0" fontId="1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0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/>
              <a:t>Sprint 1</a:t>
            </a:r>
            <a:endParaRPr lang="en-US" sz="22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Sprint1!$F$193:$AG$193</c:f>
              <c:numCache>
                <c:formatCode>m/d/yy</c:formatCode>
                <c:ptCount val="28"/>
                <c:pt idx="0">
                  <c:v>45941</c:v>
                </c:pt>
                <c:pt idx="1">
                  <c:v>45942</c:v>
                </c:pt>
                <c:pt idx="2">
                  <c:v>45943</c:v>
                </c:pt>
                <c:pt idx="3">
                  <c:v>45944</c:v>
                </c:pt>
                <c:pt idx="4">
                  <c:v>45945</c:v>
                </c:pt>
                <c:pt idx="5">
                  <c:v>45946</c:v>
                </c:pt>
                <c:pt idx="6">
                  <c:v>45947</c:v>
                </c:pt>
                <c:pt idx="7">
                  <c:v>45948</c:v>
                </c:pt>
                <c:pt idx="8">
                  <c:v>45949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>
                  <c:v>45955</c:v>
                </c:pt>
                <c:pt idx="15">
                  <c:v>45956</c:v>
                </c:pt>
                <c:pt idx="16">
                  <c:v>45957</c:v>
                </c:pt>
                <c:pt idx="17">
                  <c:v>45958</c:v>
                </c:pt>
                <c:pt idx="18">
                  <c:v>45959</c:v>
                </c:pt>
                <c:pt idx="19">
                  <c:v>45960</c:v>
                </c:pt>
                <c:pt idx="20">
                  <c:v>45961</c:v>
                </c:pt>
                <c:pt idx="21">
                  <c:v>45962</c:v>
                </c:pt>
                <c:pt idx="22">
                  <c:v>45963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</c:numCache>
            </c:numRef>
          </c:cat>
          <c:val>
            <c:numRef>
              <c:f>Sprint1!$F$194:$AG$194</c:f>
              <c:numCache>
                <c:formatCode>General</c:formatCode>
                <c:ptCount val="28"/>
                <c:pt idx="0">
                  <c:v>189</c:v>
                </c:pt>
                <c:pt idx="1">
                  <c:v>189</c:v>
                </c:pt>
                <c:pt idx="2">
                  <c:v>185</c:v>
                </c:pt>
                <c:pt idx="3">
                  <c:v>180</c:v>
                </c:pt>
                <c:pt idx="4">
                  <c:v>168</c:v>
                </c:pt>
                <c:pt idx="5">
                  <c:v>166</c:v>
                </c:pt>
                <c:pt idx="6">
                  <c:v>156</c:v>
                </c:pt>
                <c:pt idx="7">
                  <c:v>153</c:v>
                </c:pt>
                <c:pt idx="8">
                  <c:v>147</c:v>
                </c:pt>
                <c:pt idx="9">
                  <c:v>139</c:v>
                </c:pt>
                <c:pt idx="10">
                  <c:v>127</c:v>
                </c:pt>
                <c:pt idx="11">
                  <c:v>115</c:v>
                </c:pt>
                <c:pt idx="12">
                  <c:v>111</c:v>
                </c:pt>
                <c:pt idx="13">
                  <c:v>101</c:v>
                </c:pt>
                <c:pt idx="14">
                  <c:v>91</c:v>
                </c:pt>
                <c:pt idx="15">
                  <c:v>87</c:v>
                </c:pt>
                <c:pt idx="16">
                  <c:v>85</c:v>
                </c:pt>
                <c:pt idx="17">
                  <c:v>79</c:v>
                </c:pt>
                <c:pt idx="18">
                  <c:v>75</c:v>
                </c:pt>
                <c:pt idx="19">
                  <c:v>71</c:v>
                </c:pt>
                <c:pt idx="20">
                  <c:v>63</c:v>
                </c:pt>
                <c:pt idx="21">
                  <c:v>53</c:v>
                </c:pt>
                <c:pt idx="22">
                  <c:v>51</c:v>
                </c:pt>
                <c:pt idx="23">
                  <c:v>39</c:v>
                </c:pt>
                <c:pt idx="24">
                  <c:v>37</c:v>
                </c:pt>
                <c:pt idx="25">
                  <c:v>17</c:v>
                </c:pt>
                <c:pt idx="26">
                  <c:v>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C-BE49-80CD-288203066AE4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Sprint1!$F$193:$AG$193</c:f>
              <c:numCache>
                <c:formatCode>m/d/yy</c:formatCode>
                <c:ptCount val="28"/>
                <c:pt idx="0">
                  <c:v>45941</c:v>
                </c:pt>
                <c:pt idx="1">
                  <c:v>45942</c:v>
                </c:pt>
                <c:pt idx="2">
                  <c:v>45943</c:v>
                </c:pt>
                <c:pt idx="3">
                  <c:v>45944</c:v>
                </c:pt>
                <c:pt idx="4">
                  <c:v>45945</c:v>
                </c:pt>
                <c:pt idx="5">
                  <c:v>45946</c:v>
                </c:pt>
                <c:pt idx="6">
                  <c:v>45947</c:v>
                </c:pt>
                <c:pt idx="7">
                  <c:v>45948</c:v>
                </c:pt>
                <c:pt idx="8">
                  <c:v>45949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>
                  <c:v>45955</c:v>
                </c:pt>
                <c:pt idx="15">
                  <c:v>45956</c:v>
                </c:pt>
                <c:pt idx="16">
                  <c:v>45957</c:v>
                </c:pt>
                <c:pt idx="17">
                  <c:v>45958</c:v>
                </c:pt>
                <c:pt idx="18">
                  <c:v>45959</c:v>
                </c:pt>
                <c:pt idx="19">
                  <c:v>45960</c:v>
                </c:pt>
                <c:pt idx="20">
                  <c:v>45961</c:v>
                </c:pt>
                <c:pt idx="21">
                  <c:v>45962</c:v>
                </c:pt>
                <c:pt idx="22">
                  <c:v>45963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</c:numCache>
            </c:numRef>
          </c:cat>
          <c:val>
            <c:numRef>
              <c:f>Sprint1!$F$195:$AG$195</c:f>
              <c:numCache>
                <c:formatCode>General</c:formatCode>
                <c:ptCount val="28"/>
                <c:pt idx="0">
                  <c:v>189</c:v>
                </c:pt>
                <c:pt idx="1">
                  <c:v>189</c:v>
                </c:pt>
                <c:pt idx="2">
                  <c:v>182</c:v>
                </c:pt>
                <c:pt idx="3">
                  <c:v>180</c:v>
                </c:pt>
                <c:pt idx="4">
                  <c:v>168</c:v>
                </c:pt>
                <c:pt idx="5">
                  <c:v>166</c:v>
                </c:pt>
                <c:pt idx="6">
                  <c:v>157</c:v>
                </c:pt>
                <c:pt idx="7">
                  <c:v>153</c:v>
                </c:pt>
                <c:pt idx="8">
                  <c:v>147</c:v>
                </c:pt>
                <c:pt idx="9">
                  <c:v>139</c:v>
                </c:pt>
                <c:pt idx="10">
                  <c:v>127</c:v>
                </c:pt>
                <c:pt idx="11">
                  <c:v>115</c:v>
                </c:pt>
                <c:pt idx="12">
                  <c:v>111</c:v>
                </c:pt>
                <c:pt idx="13">
                  <c:v>103</c:v>
                </c:pt>
                <c:pt idx="14">
                  <c:v>91</c:v>
                </c:pt>
                <c:pt idx="15">
                  <c:v>87</c:v>
                </c:pt>
                <c:pt idx="16">
                  <c:v>85</c:v>
                </c:pt>
                <c:pt idx="17">
                  <c:v>79</c:v>
                </c:pt>
                <c:pt idx="18">
                  <c:v>75</c:v>
                </c:pt>
                <c:pt idx="19">
                  <c:v>71</c:v>
                </c:pt>
                <c:pt idx="20">
                  <c:v>64</c:v>
                </c:pt>
                <c:pt idx="21">
                  <c:v>53</c:v>
                </c:pt>
                <c:pt idx="22">
                  <c:v>51</c:v>
                </c:pt>
                <c:pt idx="23">
                  <c:v>40</c:v>
                </c:pt>
                <c:pt idx="24">
                  <c:v>37</c:v>
                </c:pt>
                <c:pt idx="25">
                  <c:v>19</c:v>
                </c:pt>
                <c:pt idx="26">
                  <c:v>6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C-BE49-80CD-288203066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812048"/>
        <c:axId val="1610047376"/>
      </c:lineChart>
      <c:dateAx>
        <c:axId val="1477812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10047376"/>
        <c:crosses val="autoZero"/>
        <c:auto val="1"/>
        <c:lblOffset val="100"/>
        <c:baseTimeUnit val="days"/>
      </c:dateAx>
      <c:valAx>
        <c:axId val="16100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778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/>
              <a:t>Sprint 2</a:t>
            </a:r>
            <a:endParaRPr lang="en-US" sz="22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2'!$F$174:$AC$174</c:f>
              <c:numCache>
                <c:formatCode>m/d/yy</c:formatCode>
                <c:ptCount val="24"/>
                <c:pt idx="0">
                  <c:v>45969</c:v>
                </c:pt>
                <c:pt idx="1">
                  <c:v>45970</c:v>
                </c:pt>
                <c:pt idx="2">
                  <c:v>45971</c:v>
                </c:pt>
                <c:pt idx="3">
                  <c:v>45972</c:v>
                </c:pt>
                <c:pt idx="4">
                  <c:v>45973</c:v>
                </c:pt>
                <c:pt idx="5">
                  <c:v>45974</c:v>
                </c:pt>
                <c:pt idx="6">
                  <c:v>45975</c:v>
                </c:pt>
                <c:pt idx="7">
                  <c:v>45976</c:v>
                </c:pt>
                <c:pt idx="8">
                  <c:v>45977</c:v>
                </c:pt>
                <c:pt idx="9">
                  <c:v>45978</c:v>
                </c:pt>
                <c:pt idx="10">
                  <c:v>45979</c:v>
                </c:pt>
                <c:pt idx="11">
                  <c:v>45980</c:v>
                </c:pt>
                <c:pt idx="12">
                  <c:v>45981</c:v>
                </c:pt>
                <c:pt idx="13">
                  <c:v>45982</c:v>
                </c:pt>
                <c:pt idx="14">
                  <c:v>45983</c:v>
                </c:pt>
                <c:pt idx="15">
                  <c:v>45984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  <c:pt idx="21">
                  <c:v>45990</c:v>
                </c:pt>
                <c:pt idx="22">
                  <c:v>45991</c:v>
                </c:pt>
                <c:pt idx="23">
                  <c:v>45992</c:v>
                </c:pt>
              </c:numCache>
            </c:numRef>
          </c:cat>
          <c:val>
            <c:numRef>
              <c:f>'Sprint 2'!$F$175:$AC$175</c:f>
              <c:numCache>
                <c:formatCode>General</c:formatCode>
                <c:ptCount val="24"/>
                <c:pt idx="0">
                  <c:v>176</c:v>
                </c:pt>
                <c:pt idx="1">
                  <c:v>155</c:v>
                </c:pt>
                <c:pt idx="2">
                  <c:v>151</c:v>
                </c:pt>
                <c:pt idx="3">
                  <c:v>146</c:v>
                </c:pt>
                <c:pt idx="4">
                  <c:v>142</c:v>
                </c:pt>
                <c:pt idx="5">
                  <c:v>138</c:v>
                </c:pt>
                <c:pt idx="6">
                  <c:v>129</c:v>
                </c:pt>
                <c:pt idx="7">
                  <c:v>121</c:v>
                </c:pt>
                <c:pt idx="8">
                  <c:v>119</c:v>
                </c:pt>
                <c:pt idx="9">
                  <c:v>116</c:v>
                </c:pt>
                <c:pt idx="10">
                  <c:v>110</c:v>
                </c:pt>
                <c:pt idx="11">
                  <c:v>107</c:v>
                </c:pt>
                <c:pt idx="12">
                  <c:v>100</c:v>
                </c:pt>
                <c:pt idx="13">
                  <c:v>88</c:v>
                </c:pt>
                <c:pt idx="14">
                  <c:v>82</c:v>
                </c:pt>
                <c:pt idx="15">
                  <c:v>76</c:v>
                </c:pt>
                <c:pt idx="16">
                  <c:v>70</c:v>
                </c:pt>
                <c:pt idx="17">
                  <c:v>56</c:v>
                </c:pt>
                <c:pt idx="18">
                  <c:v>52</c:v>
                </c:pt>
                <c:pt idx="19">
                  <c:v>33</c:v>
                </c:pt>
                <c:pt idx="20">
                  <c:v>26</c:v>
                </c:pt>
                <c:pt idx="21">
                  <c:v>16</c:v>
                </c:pt>
                <c:pt idx="22">
                  <c:v>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F0-6D47-90A2-29B75E01BFF9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2'!$F$174:$AC$174</c:f>
              <c:numCache>
                <c:formatCode>m/d/yy</c:formatCode>
                <c:ptCount val="24"/>
                <c:pt idx="0">
                  <c:v>45969</c:v>
                </c:pt>
                <c:pt idx="1">
                  <c:v>45970</c:v>
                </c:pt>
                <c:pt idx="2">
                  <c:v>45971</c:v>
                </c:pt>
                <c:pt idx="3">
                  <c:v>45972</c:v>
                </c:pt>
                <c:pt idx="4">
                  <c:v>45973</c:v>
                </c:pt>
                <c:pt idx="5">
                  <c:v>45974</c:v>
                </c:pt>
                <c:pt idx="6">
                  <c:v>45975</c:v>
                </c:pt>
                <c:pt idx="7">
                  <c:v>45976</c:v>
                </c:pt>
                <c:pt idx="8">
                  <c:v>45977</c:v>
                </c:pt>
                <c:pt idx="9">
                  <c:v>45978</c:v>
                </c:pt>
                <c:pt idx="10">
                  <c:v>45979</c:v>
                </c:pt>
                <c:pt idx="11">
                  <c:v>45980</c:v>
                </c:pt>
                <c:pt idx="12">
                  <c:v>45981</c:v>
                </c:pt>
                <c:pt idx="13">
                  <c:v>45982</c:v>
                </c:pt>
                <c:pt idx="14">
                  <c:v>45983</c:v>
                </c:pt>
                <c:pt idx="15">
                  <c:v>45984</c:v>
                </c:pt>
                <c:pt idx="16">
                  <c:v>45985</c:v>
                </c:pt>
                <c:pt idx="17">
                  <c:v>45986</c:v>
                </c:pt>
                <c:pt idx="18">
                  <c:v>45987</c:v>
                </c:pt>
                <c:pt idx="19">
                  <c:v>45988</c:v>
                </c:pt>
                <c:pt idx="20">
                  <c:v>45989</c:v>
                </c:pt>
                <c:pt idx="21">
                  <c:v>45990</c:v>
                </c:pt>
                <c:pt idx="22">
                  <c:v>45991</c:v>
                </c:pt>
                <c:pt idx="23">
                  <c:v>45992</c:v>
                </c:pt>
              </c:numCache>
            </c:numRef>
          </c:cat>
          <c:val>
            <c:numRef>
              <c:f>'Sprint 2'!$F$176:$AC$176</c:f>
              <c:numCache>
                <c:formatCode>General</c:formatCode>
                <c:ptCount val="24"/>
                <c:pt idx="0">
                  <c:v>176</c:v>
                </c:pt>
                <c:pt idx="1">
                  <c:v>158</c:v>
                </c:pt>
                <c:pt idx="2">
                  <c:v>151</c:v>
                </c:pt>
                <c:pt idx="3">
                  <c:v>146</c:v>
                </c:pt>
                <c:pt idx="4">
                  <c:v>142</c:v>
                </c:pt>
                <c:pt idx="5">
                  <c:v>138</c:v>
                </c:pt>
                <c:pt idx="6">
                  <c:v>129</c:v>
                </c:pt>
                <c:pt idx="7">
                  <c:v>121</c:v>
                </c:pt>
                <c:pt idx="8">
                  <c:v>119</c:v>
                </c:pt>
                <c:pt idx="9">
                  <c:v>116</c:v>
                </c:pt>
                <c:pt idx="10">
                  <c:v>110</c:v>
                </c:pt>
                <c:pt idx="11">
                  <c:v>107</c:v>
                </c:pt>
                <c:pt idx="12">
                  <c:v>102</c:v>
                </c:pt>
                <c:pt idx="13">
                  <c:v>90</c:v>
                </c:pt>
                <c:pt idx="14">
                  <c:v>82</c:v>
                </c:pt>
                <c:pt idx="15">
                  <c:v>76</c:v>
                </c:pt>
                <c:pt idx="16">
                  <c:v>70</c:v>
                </c:pt>
                <c:pt idx="17">
                  <c:v>56</c:v>
                </c:pt>
                <c:pt idx="18">
                  <c:v>52</c:v>
                </c:pt>
                <c:pt idx="19">
                  <c:v>33</c:v>
                </c:pt>
                <c:pt idx="20">
                  <c:v>27</c:v>
                </c:pt>
                <c:pt idx="21">
                  <c:v>18</c:v>
                </c:pt>
                <c:pt idx="22">
                  <c:v>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F0-6D47-90A2-29B75E01B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812048"/>
        <c:axId val="1610047376"/>
      </c:lineChart>
      <c:dateAx>
        <c:axId val="1477812048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10047376"/>
        <c:crosses val="autoZero"/>
        <c:auto val="1"/>
        <c:lblOffset val="100"/>
        <c:baseTimeUnit val="days"/>
      </c:dateAx>
      <c:valAx>
        <c:axId val="16100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778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23813</xdr:colOff>
      <xdr:row>196</xdr:row>
      <xdr:rowOff>71437</xdr:rowOff>
    </xdr:from>
    <xdr:to>
      <xdr:col>18</xdr:col>
      <xdr:colOff>1812</xdr:colOff>
      <xdr:row>224</xdr:row>
      <xdr:rowOff>64895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FDC5E-FC6E-8C41-A353-AAE93F8FD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4683</xdr:colOff>
      <xdr:row>177</xdr:row>
      <xdr:rowOff>189345</xdr:rowOff>
    </xdr:from>
    <xdr:to>
      <xdr:col>16</xdr:col>
      <xdr:colOff>808182</xdr:colOff>
      <xdr:row>205</xdr:row>
      <xdr:rowOff>182803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92923-0B35-1D40-A42D-6343AF75C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FC5A-B9CE-B148-B557-4161532FBDF0}">
  <dimension ref="A1:AG195"/>
  <sheetViews>
    <sheetView topLeftCell="C185" zoomScale="130" zoomScaleNormal="130" workbookViewId="0">
      <selection activeCell="F193" sqref="F193"/>
    </sheetView>
  </sheetViews>
  <sheetFormatPr baseColWidth="10" defaultRowHeight="16" x14ac:dyDescent="0.2"/>
  <cols>
    <col min="1" max="1" width="20" style="46" customWidth="1"/>
    <col min="2" max="2" width="23" style="46" customWidth="1"/>
    <col min="3" max="3" width="93" style="46" customWidth="1"/>
    <col min="4" max="16384" width="10.83203125" style="46"/>
  </cols>
  <sheetData>
    <row r="1" spans="1:9" ht="18" x14ac:dyDescent="0.2">
      <c r="A1" s="2" t="s">
        <v>0</v>
      </c>
      <c r="B1" s="84" t="s">
        <v>57</v>
      </c>
      <c r="C1" s="85"/>
    </row>
    <row r="2" spans="1:9" ht="18" x14ac:dyDescent="0.2">
      <c r="A2" s="3" t="s">
        <v>1</v>
      </c>
      <c r="B2" s="86" t="s">
        <v>12</v>
      </c>
      <c r="C2" s="87"/>
    </row>
    <row r="3" spans="1:9" ht="18" x14ac:dyDescent="0.2">
      <c r="A3" s="3" t="s">
        <v>2</v>
      </c>
      <c r="B3" s="88" t="s">
        <v>58</v>
      </c>
      <c r="C3" s="88"/>
    </row>
    <row r="4" spans="1:9" ht="18" x14ac:dyDescent="0.2">
      <c r="A4" s="3" t="s">
        <v>3</v>
      </c>
      <c r="B4" s="89">
        <v>45941</v>
      </c>
      <c r="C4" s="90"/>
    </row>
    <row r="5" spans="1:9" ht="18" x14ac:dyDescent="0.2">
      <c r="A5" s="3" t="s">
        <v>4</v>
      </c>
      <c r="B5" s="89">
        <v>45968</v>
      </c>
      <c r="C5" s="90"/>
    </row>
    <row r="9" spans="1:9" ht="18" customHeight="1" x14ac:dyDescent="0.2">
      <c r="A9" s="78" t="s">
        <v>17</v>
      </c>
      <c r="B9" s="79"/>
      <c r="C9" s="79"/>
      <c r="D9" s="79"/>
      <c r="E9" s="80"/>
    </row>
    <row r="10" spans="1:9" ht="17" customHeight="1" x14ac:dyDescent="0.2">
      <c r="A10" s="4" t="s">
        <v>5</v>
      </c>
      <c r="B10" s="5" t="s">
        <v>6</v>
      </c>
      <c r="C10" s="6" t="s">
        <v>7</v>
      </c>
      <c r="D10" s="81" t="s">
        <v>8</v>
      </c>
      <c r="E10" s="82"/>
      <c r="G10" s="18"/>
      <c r="H10" s="63" t="s">
        <v>27</v>
      </c>
      <c r="I10" s="63"/>
    </row>
    <row r="11" spans="1:9" ht="17" customHeight="1" x14ac:dyDescent="0.2">
      <c r="A11" s="7">
        <v>1</v>
      </c>
      <c r="B11" s="8" t="s">
        <v>26</v>
      </c>
      <c r="C11" s="16">
        <f>SUM(E18,E19,E21,E22,E24,E27,E29,E30,E32,E33,E34,E39,E44,E45,E47,E50,E52,E53,E55,E56,E57,E62,E67,E68,E70,E76,E79,E80,E82,E83,E85,E88,E91,E90)</f>
        <v>104</v>
      </c>
      <c r="D11" s="83">
        <f>SUM(D114,D115,D117,D118,D120,D123,D126,D125,D128,D129,D130,D135,D140,D141,D143,D146,D148,D149,D151,D152,D153,D158,D163,D164,D166,D172,D175,D176,D178,D179,D181,D184,D186,D187)</f>
        <v>104</v>
      </c>
      <c r="E11" s="83"/>
      <c r="G11" s="26"/>
      <c r="H11" s="63" t="s">
        <v>28</v>
      </c>
      <c r="I11" s="63"/>
    </row>
    <row r="12" spans="1:9" ht="17" customHeight="1" x14ac:dyDescent="0.2">
      <c r="A12" s="7">
        <v>2</v>
      </c>
      <c r="B12" s="8" t="s">
        <v>54</v>
      </c>
      <c r="C12" s="16">
        <f>SUM(E18,E19,E21,E23,E24,E27,E29,E30,E32,E33,E36,E37,E42,E44,E46,E47,E50,E53,E52,E55,E56,E59,E60,E65,E67,E73,E75,E78,E79,E82,E83,E85,E88,E90,E91)</f>
        <v>103</v>
      </c>
      <c r="D12" s="83">
        <f>SUM(D114,D115,D117,D119,D120,D123,D125,D126,D128,D129,D140,D138,D132,D133,D142,D143,D146,D148,D149,D151,D156,D155,D161,D163,D169,D171,D174,D175,D178,D179,D181,D184,D186,D187,D152)</f>
        <v>103</v>
      </c>
      <c r="E12" s="83"/>
      <c r="G12" s="19"/>
      <c r="H12" s="63" t="s">
        <v>29</v>
      </c>
      <c r="I12" s="63"/>
    </row>
    <row r="13" spans="1:9" ht="17" customHeight="1" x14ac:dyDescent="0.2">
      <c r="A13" s="7">
        <v>3</v>
      </c>
      <c r="B13" s="8" t="s">
        <v>55</v>
      </c>
      <c r="C13" s="16">
        <f>SUM(E18,E20,E21,E23,E25,E26,E28,E31,E33,E38,E40,E44,E46,E48,E49,E51,E54,E56,E61,E63,E67,E69,E79,E81,E71,E84,E86,E87,E89,E90,E91,E50)</f>
        <v>102</v>
      </c>
      <c r="D13" s="83">
        <f>SUM(D114,D116,D117,D119,D121,D122,D124,D127,D129,D134,D136,D140,D142,D144,D145,D147,D150,D152,D157,D159,D163,D165,D167,D175,D177,D180,D182,D183,D185,D186,D187,D151)</f>
        <v>102</v>
      </c>
      <c r="E13" s="83"/>
      <c r="G13" s="20"/>
      <c r="H13" s="63" t="s">
        <v>30</v>
      </c>
      <c r="I13" s="93"/>
    </row>
    <row r="14" spans="1:9" ht="17" customHeight="1" x14ac:dyDescent="0.2">
      <c r="A14" s="36">
        <v>4</v>
      </c>
      <c r="B14" s="8" t="s">
        <v>56</v>
      </c>
      <c r="C14" s="39">
        <f>SUM(E18,E20,E22,E21,E25,E26,E28,E31,E33,E35,E41,E43,E45,E44,E48,E49,E51,E54,E56,E58,E64,E66,E72,E67,E74,E77,E79,E80,E81,E84,E86,E87,E89,E90,E91)</f>
        <v>105</v>
      </c>
      <c r="D14" s="83">
        <f>SUM(D114,D116,D117,D118,D121,D122,D124,D127,D129,D131,D137,D139,D140,D141,D144,D145,D147,D150,D152,D154,D160,D162,D168,D170,D173,D175,D177,D180,D182,D183,D185,D186,D187,D176,D163)</f>
        <v>102</v>
      </c>
      <c r="E14" s="83"/>
      <c r="G14" s="21"/>
      <c r="H14" s="91" t="s">
        <v>31</v>
      </c>
      <c r="I14" s="91"/>
    </row>
    <row r="17" spans="1:33" ht="71" x14ac:dyDescent="0.2">
      <c r="A17" s="9" t="s">
        <v>10</v>
      </c>
      <c r="B17" s="10" t="s">
        <v>11</v>
      </c>
      <c r="C17" s="10" t="s">
        <v>32</v>
      </c>
      <c r="D17" s="10" t="s">
        <v>8</v>
      </c>
      <c r="E17" s="10" t="s">
        <v>7</v>
      </c>
      <c r="F17" s="27">
        <v>45941</v>
      </c>
      <c r="G17" s="27">
        <v>45942</v>
      </c>
      <c r="H17" s="27">
        <v>45943</v>
      </c>
      <c r="I17" s="27">
        <v>45944</v>
      </c>
      <c r="J17" s="27">
        <v>45945</v>
      </c>
      <c r="K17" s="27">
        <v>45946</v>
      </c>
      <c r="L17" s="27">
        <v>45947</v>
      </c>
      <c r="M17" s="27">
        <v>45948</v>
      </c>
      <c r="N17" s="27">
        <v>45949</v>
      </c>
      <c r="O17" s="27">
        <v>45950</v>
      </c>
      <c r="P17" s="27">
        <v>45951</v>
      </c>
      <c r="Q17" s="27">
        <v>45952</v>
      </c>
      <c r="R17" s="27">
        <v>45953</v>
      </c>
      <c r="S17" s="27">
        <v>45954</v>
      </c>
      <c r="T17" s="27">
        <v>45955</v>
      </c>
      <c r="U17" s="27">
        <v>45956</v>
      </c>
      <c r="V17" s="27">
        <v>45957</v>
      </c>
      <c r="W17" s="27">
        <v>45958</v>
      </c>
      <c r="X17" s="27">
        <v>45959</v>
      </c>
      <c r="Y17" s="27">
        <v>45960</v>
      </c>
      <c r="Z17" s="27">
        <v>45961</v>
      </c>
      <c r="AA17" s="27">
        <v>45962</v>
      </c>
      <c r="AB17" s="27">
        <v>45963</v>
      </c>
      <c r="AC17" s="27">
        <v>45964</v>
      </c>
      <c r="AD17" s="27">
        <v>45965</v>
      </c>
      <c r="AE17" s="27">
        <v>45966</v>
      </c>
      <c r="AF17" s="27">
        <v>45967</v>
      </c>
      <c r="AG17" s="27">
        <v>45968</v>
      </c>
    </row>
    <row r="18" spans="1:33" ht="18" x14ac:dyDescent="0.2">
      <c r="A18" s="92" t="s">
        <v>64</v>
      </c>
      <c r="B18" s="92"/>
      <c r="C18" s="24" t="s">
        <v>65</v>
      </c>
      <c r="D18" s="37"/>
      <c r="E18" s="38">
        <v>4</v>
      </c>
      <c r="F18" s="22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ht="18" x14ac:dyDescent="0.2">
      <c r="A19" s="92" t="s">
        <v>33</v>
      </c>
      <c r="B19" s="92"/>
      <c r="C19" s="24" t="s">
        <v>66</v>
      </c>
      <c r="D19" s="37"/>
      <c r="E19" s="38">
        <v>4</v>
      </c>
      <c r="F19" s="38">
        <v>4</v>
      </c>
      <c r="G19" s="38">
        <v>4</v>
      </c>
      <c r="H19" s="22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ht="18" x14ac:dyDescent="0.2">
      <c r="A20" s="92" t="s">
        <v>34</v>
      </c>
      <c r="B20" s="92"/>
      <c r="C20" s="24" t="s">
        <v>67</v>
      </c>
      <c r="D20" s="37"/>
      <c r="E20" s="38">
        <v>5</v>
      </c>
      <c r="F20" s="38">
        <v>5</v>
      </c>
      <c r="G20" s="38">
        <v>5</v>
      </c>
      <c r="H20" s="60">
        <v>5</v>
      </c>
      <c r="I20" s="22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ht="18" x14ac:dyDescent="0.2">
      <c r="A21" s="92" t="s">
        <v>46</v>
      </c>
      <c r="B21" s="92"/>
      <c r="C21" s="24" t="s">
        <v>65</v>
      </c>
      <c r="D21" s="37"/>
      <c r="E21" s="23">
        <v>12</v>
      </c>
      <c r="F21" s="23">
        <v>12</v>
      </c>
      <c r="G21" s="23">
        <v>12</v>
      </c>
      <c r="H21" s="23">
        <v>12</v>
      </c>
      <c r="I21" s="23">
        <v>12</v>
      </c>
      <c r="J21" s="22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ht="18" x14ac:dyDescent="0.2">
      <c r="A22" s="94" t="s">
        <v>35</v>
      </c>
      <c r="B22" s="25" t="s">
        <v>36</v>
      </c>
      <c r="C22" s="24" t="s">
        <v>68</v>
      </c>
      <c r="D22" s="37"/>
      <c r="E22" s="24">
        <v>2</v>
      </c>
      <c r="F22" s="24">
        <v>2</v>
      </c>
      <c r="G22" s="24">
        <v>2</v>
      </c>
      <c r="H22" s="24">
        <v>2</v>
      </c>
      <c r="I22" s="24">
        <v>2</v>
      </c>
      <c r="J22" s="24">
        <v>2</v>
      </c>
      <c r="K22" s="22">
        <v>0</v>
      </c>
      <c r="L22" s="62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</row>
    <row r="23" spans="1:33" ht="18" x14ac:dyDescent="0.2">
      <c r="A23" s="94"/>
      <c r="B23" s="25" t="s">
        <v>37</v>
      </c>
      <c r="C23" s="24" t="s">
        <v>69</v>
      </c>
      <c r="D23" s="39"/>
      <c r="E23" s="24">
        <v>3</v>
      </c>
      <c r="F23" s="24">
        <v>4</v>
      </c>
      <c r="G23" s="24">
        <v>4</v>
      </c>
      <c r="H23" s="24">
        <v>4</v>
      </c>
      <c r="I23" s="24">
        <v>4</v>
      </c>
      <c r="J23" s="24">
        <v>4</v>
      </c>
      <c r="K23" s="24">
        <v>4</v>
      </c>
      <c r="L23" s="22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spans="1:33" ht="18" x14ac:dyDescent="0.2">
      <c r="A24" s="94"/>
      <c r="B24" s="25" t="s">
        <v>13</v>
      </c>
      <c r="C24" s="24" t="s">
        <v>66</v>
      </c>
      <c r="D24" s="39"/>
      <c r="E24" s="24">
        <v>3</v>
      </c>
      <c r="F24" s="24">
        <v>3</v>
      </c>
      <c r="G24" s="24">
        <v>3</v>
      </c>
      <c r="H24" s="24">
        <v>3</v>
      </c>
      <c r="I24" s="24">
        <v>3</v>
      </c>
      <c r="J24" s="24">
        <v>3</v>
      </c>
      <c r="K24" s="24">
        <v>3</v>
      </c>
      <c r="L24" s="22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spans="1:33" ht="18" x14ac:dyDescent="0.2">
      <c r="A25" s="94"/>
      <c r="B25" s="25" t="s">
        <v>14</v>
      </c>
      <c r="C25" s="24" t="s">
        <v>67</v>
      </c>
      <c r="D25" s="39"/>
      <c r="E25" s="24">
        <v>3</v>
      </c>
      <c r="F25" s="24">
        <v>3</v>
      </c>
      <c r="G25" s="24">
        <v>3</v>
      </c>
      <c r="H25" s="24">
        <v>3</v>
      </c>
      <c r="I25" s="24">
        <v>3</v>
      </c>
      <c r="J25" s="24">
        <v>3</v>
      </c>
      <c r="K25" s="24">
        <v>3</v>
      </c>
      <c r="L25" s="22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  <row r="26" spans="1:33" ht="18" x14ac:dyDescent="0.2">
      <c r="A26" s="94"/>
      <c r="B26" s="25" t="s">
        <v>15</v>
      </c>
      <c r="C26" s="24" t="s">
        <v>67</v>
      </c>
      <c r="D26" s="39"/>
      <c r="E26" s="24">
        <v>3</v>
      </c>
      <c r="F26" s="24">
        <v>3</v>
      </c>
      <c r="G26" s="24">
        <v>3</v>
      </c>
      <c r="H26" s="24">
        <v>3</v>
      </c>
      <c r="I26" s="24">
        <v>3</v>
      </c>
      <c r="J26" s="24">
        <v>3</v>
      </c>
      <c r="K26" s="24">
        <v>3</v>
      </c>
      <c r="L26" s="24">
        <v>3</v>
      </c>
      <c r="M26" s="22">
        <v>0</v>
      </c>
      <c r="N26" s="62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</row>
    <row r="27" spans="1:33" ht="18" x14ac:dyDescent="0.2">
      <c r="A27" s="94"/>
      <c r="B27" s="25" t="s">
        <v>38</v>
      </c>
      <c r="C27" s="24" t="s">
        <v>66</v>
      </c>
      <c r="D27" s="39"/>
      <c r="E27" s="39">
        <v>2</v>
      </c>
      <c r="F27" s="39">
        <v>2</v>
      </c>
      <c r="G27" s="39">
        <v>2</v>
      </c>
      <c r="H27" s="39">
        <v>2</v>
      </c>
      <c r="I27" s="39">
        <v>2</v>
      </c>
      <c r="J27" s="39">
        <v>2</v>
      </c>
      <c r="K27" s="39">
        <v>2</v>
      </c>
      <c r="L27" s="39">
        <v>2</v>
      </c>
      <c r="M27" s="39">
        <v>2</v>
      </c>
      <c r="N27" s="22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</row>
    <row r="28" spans="1:33" ht="18" x14ac:dyDescent="0.2">
      <c r="A28" s="94"/>
      <c r="B28" s="25" t="s">
        <v>44</v>
      </c>
      <c r="C28" s="24" t="s">
        <v>67</v>
      </c>
      <c r="D28" s="39"/>
      <c r="E28" s="24">
        <v>2</v>
      </c>
      <c r="F28" s="24">
        <v>2</v>
      </c>
      <c r="G28" s="24">
        <v>2</v>
      </c>
      <c r="H28" s="24">
        <v>2</v>
      </c>
      <c r="I28" s="24">
        <v>2</v>
      </c>
      <c r="J28" s="24">
        <v>2</v>
      </c>
      <c r="K28" s="24">
        <v>2</v>
      </c>
      <c r="L28" s="24">
        <v>2</v>
      </c>
      <c r="M28" s="24">
        <v>2</v>
      </c>
      <c r="N28" s="22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</row>
    <row r="29" spans="1:33" ht="18" x14ac:dyDescent="0.2">
      <c r="A29" s="94"/>
      <c r="B29" s="25" t="s">
        <v>16</v>
      </c>
      <c r="C29" s="24" t="s">
        <v>66</v>
      </c>
      <c r="D29" s="39"/>
      <c r="E29" s="24">
        <v>2</v>
      </c>
      <c r="F29" s="24">
        <v>2</v>
      </c>
      <c r="G29" s="24">
        <v>2</v>
      </c>
      <c r="H29" s="24">
        <v>2</v>
      </c>
      <c r="I29" s="24">
        <v>2</v>
      </c>
      <c r="J29" s="24">
        <v>2</v>
      </c>
      <c r="K29" s="24">
        <v>2</v>
      </c>
      <c r="L29" s="24">
        <v>2</v>
      </c>
      <c r="M29" s="24">
        <v>2</v>
      </c>
      <c r="N29" s="22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</row>
    <row r="30" spans="1:33" ht="18" x14ac:dyDescent="0.2">
      <c r="A30" s="94"/>
      <c r="B30" s="25" t="s">
        <v>22</v>
      </c>
      <c r="C30" s="24" t="s">
        <v>66</v>
      </c>
      <c r="D30" s="39"/>
      <c r="E30" s="24">
        <v>2</v>
      </c>
      <c r="F30" s="24">
        <v>2</v>
      </c>
      <c r="G30" s="24">
        <v>2</v>
      </c>
      <c r="H30" s="24">
        <v>2</v>
      </c>
      <c r="I30" s="24">
        <v>2</v>
      </c>
      <c r="J30" s="24">
        <v>2</v>
      </c>
      <c r="K30" s="24">
        <v>2</v>
      </c>
      <c r="L30" s="24">
        <v>2</v>
      </c>
      <c r="M30" s="24">
        <v>2</v>
      </c>
      <c r="N30" s="24">
        <v>2</v>
      </c>
      <c r="O30" s="22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</row>
    <row r="31" spans="1:33" ht="18" x14ac:dyDescent="0.2">
      <c r="A31" s="94"/>
      <c r="B31" s="25" t="s">
        <v>59</v>
      </c>
      <c r="C31" s="24" t="s">
        <v>67</v>
      </c>
      <c r="D31" s="39"/>
      <c r="E31" s="24">
        <v>2</v>
      </c>
      <c r="F31" s="24">
        <v>2</v>
      </c>
      <c r="G31" s="24">
        <v>2</v>
      </c>
      <c r="H31" s="24">
        <v>2</v>
      </c>
      <c r="I31" s="24">
        <v>2</v>
      </c>
      <c r="J31" s="24">
        <v>2</v>
      </c>
      <c r="K31" s="24">
        <v>2</v>
      </c>
      <c r="L31" s="24">
        <v>2</v>
      </c>
      <c r="M31" s="24">
        <v>2</v>
      </c>
      <c r="N31" s="24">
        <v>2</v>
      </c>
      <c r="O31" s="22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</row>
    <row r="32" spans="1:33" ht="18" x14ac:dyDescent="0.2">
      <c r="A32" s="94"/>
      <c r="B32" s="25" t="s">
        <v>60</v>
      </c>
      <c r="C32" s="24" t="s">
        <v>66</v>
      </c>
      <c r="D32" s="39"/>
      <c r="E32" s="24">
        <v>2</v>
      </c>
      <c r="F32" s="24">
        <v>2</v>
      </c>
      <c r="G32" s="24">
        <v>2</v>
      </c>
      <c r="H32" s="24">
        <v>2</v>
      </c>
      <c r="I32" s="24">
        <v>2</v>
      </c>
      <c r="J32" s="24">
        <v>2</v>
      </c>
      <c r="K32" s="24">
        <v>2</v>
      </c>
      <c r="L32" s="24">
        <v>2</v>
      </c>
      <c r="M32" s="24">
        <v>2</v>
      </c>
      <c r="N32" s="24">
        <v>2</v>
      </c>
      <c r="O32" s="22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</row>
    <row r="33" spans="1:33" ht="18" x14ac:dyDescent="0.2">
      <c r="A33" s="94"/>
      <c r="B33" s="25" t="s">
        <v>39</v>
      </c>
      <c r="C33" s="37" t="s">
        <v>65</v>
      </c>
      <c r="D33" s="39"/>
      <c r="E33" s="39">
        <v>2</v>
      </c>
      <c r="F33" s="39">
        <v>2</v>
      </c>
      <c r="G33" s="39">
        <v>2</v>
      </c>
      <c r="H33" s="39">
        <v>2</v>
      </c>
      <c r="I33" s="39">
        <v>2</v>
      </c>
      <c r="J33" s="39">
        <v>2</v>
      </c>
      <c r="K33" s="39">
        <v>2</v>
      </c>
      <c r="L33" s="39">
        <v>2</v>
      </c>
      <c r="M33" s="39">
        <v>2</v>
      </c>
      <c r="N33" s="39">
        <v>2</v>
      </c>
      <c r="O33" s="22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</row>
    <row r="34" spans="1:33" ht="18" x14ac:dyDescent="0.2">
      <c r="A34" s="95" t="s">
        <v>45</v>
      </c>
      <c r="B34" s="25" t="s">
        <v>37</v>
      </c>
      <c r="C34" s="24" t="s">
        <v>70</v>
      </c>
      <c r="D34" s="37"/>
      <c r="E34" s="24">
        <v>3</v>
      </c>
      <c r="F34" s="24">
        <v>3</v>
      </c>
      <c r="G34" s="24">
        <v>3</v>
      </c>
      <c r="H34" s="24">
        <v>3</v>
      </c>
      <c r="I34" s="24">
        <v>3</v>
      </c>
      <c r="J34" s="24">
        <v>3</v>
      </c>
      <c r="K34" s="24">
        <v>3</v>
      </c>
      <c r="L34" s="24">
        <v>3</v>
      </c>
      <c r="M34" s="24">
        <v>3</v>
      </c>
      <c r="N34" s="24">
        <v>3</v>
      </c>
      <c r="O34" s="24">
        <v>3</v>
      </c>
      <c r="P34" s="22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</row>
    <row r="35" spans="1:33" ht="18" x14ac:dyDescent="0.2">
      <c r="A35" s="95"/>
      <c r="B35" s="25" t="s">
        <v>13</v>
      </c>
      <c r="C35" s="24" t="s">
        <v>71</v>
      </c>
      <c r="D35" s="39"/>
      <c r="E35" s="24">
        <v>3</v>
      </c>
      <c r="F35" s="24">
        <v>3</v>
      </c>
      <c r="G35" s="24">
        <v>3</v>
      </c>
      <c r="H35" s="24">
        <v>3</v>
      </c>
      <c r="I35" s="24">
        <v>3</v>
      </c>
      <c r="J35" s="24">
        <v>3</v>
      </c>
      <c r="K35" s="24">
        <v>3</v>
      </c>
      <c r="L35" s="24">
        <v>3</v>
      </c>
      <c r="M35" s="24">
        <v>3</v>
      </c>
      <c r="N35" s="24">
        <v>3</v>
      </c>
      <c r="O35" s="24">
        <v>3</v>
      </c>
      <c r="P35" s="22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</row>
    <row r="36" spans="1:33" ht="18" x14ac:dyDescent="0.2">
      <c r="A36" s="95"/>
      <c r="B36" s="25" t="s">
        <v>14</v>
      </c>
      <c r="C36" s="24" t="s">
        <v>72</v>
      </c>
      <c r="D36" s="39"/>
      <c r="E36" s="24">
        <v>3</v>
      </c>
      <c r="F36" s="24">
        <v>3</v>
      </c>
      <c r="G36" s="24">
        <v>3</v>
      </c>
      <c r="H36" s="24">
        <v>3</v>
      </c>
      <c r="I36" s="24">
        <v>3</v>
      </c>
      <c r="J36" s="24">
        <v>3</v>
      </c>
      <c r="K36" s="24">
        <v>3</v>
      </c>
      <c r="L36" s="24">
        <v>3</v>
      </c>
      <c r="M36" s="24">
        <v>3</v>
      </c>
      <c r="N36" s="24">
        <v>3</v>
      </c>
      <c r="O36" s="24">
        <v>3</v>
      </c>
      <c r="P36" s="22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</row>
    <row r="37" spans="1:33" ht="18" x14ac:dyDescent="0.2">
      <c r="A37" s="95"/>
      <c r="B37" s="25" t="s">
        <v>15</v>
      </c>
      <c r="C37" s="24" t="s">
        <v>72</v>
      </c>
      <c r="D37" s="39"/>
      <c r="E37" s="24">
        <v>3</v>
      </c>
      <c r="F37" s="24">
        <v>3</v>
      </c>
      <c r="G37" s="24">
        <v>3</v>
      </c>
      <c r="H37" s="24">
        <v>3</v>
      </c>
      <c r="I37" s="24">
        <v>3</v>
      </c>
      <c r="J37" s="24">
        <v>3</v>
      </c>
      <c r="K37" s="24">
        <v>3</v>
      </c>
      <c r="L37" s="24">
        <v>3</v>
      </c>
      <c r="M37" s="24">
        <v>3</v>
      </c>
      <c r="N37" s="24">
        <v>3</v>
      </c>
      <c r="O37" s="24">
        <v>3</v>
      </c>
      <c r="P37" s="22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spans="1:33" ht="18" x14ac:dyDescent="0.2">
      <c r="A38" s="95"/>
      <c r="B38" s="25" t="s">
        <v>38</v>
      </c>
      <c r="C38" s="24" t="s">
        <v>73</v>
      </c>
      <c r="D38" s="39"/>
      <c r="E38" s="24">
        <v>2</v>
      </c>
      <c r="F38" s="24">
        <v>2</v>
      </c>
      <c r="G38" s="24">
        <v>2</v>
      </c>
      <c r="H38" s="24">
        <v>2</v>
      </c>
      <c r="I38" s="24">
        <v>2</v>
      </c>
      <c r="J38" s="24">
        <v>2</v>
      </c>
      <c r="K38" s="24">
        <v>2</v>
      </c>
      <c r="L38" s="24">
        <v>2</v>
      </c>
      <c r="M38" s="24">
        <v>2</v>
      </c>
      <c r="N38" s="24">
        <v>2</v>
      </c>
      <c r="O38" s="24">
        <v>2</v>
      </c>
      <c r="P38" s="24">
        <v>2</v>
      </c>
      <c r="Q38" s="22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spans="1:33" ht="18" x14ac:dyDescent="0.2">
      <c r="A39" s="95"/>
      <c r="B39" s="25" t="s">
        <v>44</v>
      </c>
      <c r="C39" s="24" t="s">
        <v>70</v>
      </c>
      <c r="D39" s="39"/>
      <c r="E39" s="39">
        <v>2</v>
      </c>
      <c r="F39" s="39">
        <v>2</v>
      </c>
      <c r="G39" s="39">
        <v>2</v>
      </c>
      <c r="H39" s="39">
        <v>2</v>
      </c>
      <c r="I39" s="39">
        <v>2</v>
      </c>
      <c r="J39" s="39">
        <v>2</v>
      </c>
      <c r="K39" s="39">
        <v>2</v>
      </c>
      <c r="L39" s="39">
        <v>2</v>
      </c>
      <c r="M39" s="39">
        <v>2</v>
      </c>
      <c r="N39" s="39">
        <v>2</v>
      </c>
      <c r="O39" s="39">
        <v>2</v>
      </c>
      <c r="P39" s="39">
        <v>2</v>
      </c>
      <c r="Q39" s="22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spans="1:33" ht="18" x14ac:dyDescent="0.2">
      <c r="A40" s="95"/>
      <c r="B40" s="25" t="s">
        <v>16</v>
      </c>
      <c r="C40" s="24" t="s">
        <v>73</v>
      </c>
      <c r="D40" s="39"/>
      <c r="E40" s="24">
        <v>2</v>
      </c>
      <c r="F40" s="24">
        <v>2</v>
      </c>
      <c r="G40" s="24">
        <v>2</v>
      </c>
      <c r="H40" s="24">
        <v>2</v>
      </c>
      <c r="I40" s="24">
        <v>2</v>
      </c>
      <c r="J40" s="24">
        <v>2</v>
      </c>
      <c r="K40" s="24">
        <v>2</v>
      </c>
      <c r="L40" s="24">
        <v>2</v>
      </c>
      <c r="M40" s="24">
        <v>2</v>
      </c>
      <c r="N40" s="24">
        <v>2</v>
      </c>
      <c r="O40" s="24">
        <v>2</v>
      </c>
      <c r="P40" s="24">
        <v>2</v>
      </c>
      <c r="Q40" s="22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</row>
    <row r="41" spans="1:33" ht="18" x14ac:dyDescent="0.2">
      <c r="A41" s="95"/>
      <c r="B41" s="25" t="s">
        <v>22</v>
      </c>
      <c r="C41" s="24" t="s">
        <v>71</v>
      </c>
      <c r="D41" s="39"/>
      <c r="E41" s="24">
        <v>2</v>
      </c>
      <c r="F41" s="24">
        <v>2</v>
      </c>
      <c r="G41" s="24">
        <v>2</v>
      </c>
      <c r="H41" s="24">
        <v>2</v>
      </c>
      <c r="I41" s="24">
        <v>2</v>
      </c>
      <c r="J41" s="24">
        <v>2</v>
      </c>
      <c r="K41" s="24">
        <v>2</v>
      </c>
      <c r="L41" s="24">
        <v>2</v>
      </c>
      <c r="M41" s="24">
        <v>2</v>
      </c>
      <c r="N41" s="24">
        <v>2</v>
      </c>
      <c r="O41" s="24">
        <v>2</v>
      </c>
      <c r="P41" s="24">
        <v>2</v>
      </c>
      <c r="Q41" s="22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</row>
    <row r="42" spans="1:33" ht="18" x14ac:dyDescent="0.2">
      <c r="A42" s="95"/>
      <c r="B42" s="25" t="s">
        <v>59</v>
      </c>
      <c r="C42" s="24" t="s">
        <v>72</v>
      </c>
      <c r="D42" s="39"/>
      <c r="E42" s="24">
        <v>2</v>
      </c>
      <c r="F42" s="24">
        <v>2</v>
      </c>
      <c r="G42" s="24">
        <v>2</v>
      </c>
      <c r="H42" s="24">
        <v>2</v>
      </c>
      <c r="I42" s="24">
        <v>2</v>
      </c>
      <c r="J42" s="24">
        <v>2</v>
      </c>
      <c r="K42" s="24">
        <v>2</v>
      </c>
      <c r="L42" s="24">
        <v>2</v>
      </c>
      <c r="M42" s="24">
        <v>2</v>
      </c>
      <c r="N42" s="24">
        <v>2</v>
      </c>
      <c r="O42" s="24">
        <v>2</v>
      </c>
      <c r="P42" s="24">
        <v>2</v>
      </c>
      <c r="Q42" s="22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spans="1:33" ht="18" x14ac:dyDescent="0.2">
      <c r="A43" s="95"/>
      <c r="B43" s="25" t="s">
        <v>60</v>
      </c>
      <c r="C43" s="24" t="s">
        <v>71</v>
      </c>
      <c r="D43" s="39"/>
      <c r="E43" s="24">
        <v>2</v>
      </c>
      <c r="F43" s="24">
        <v>2</v>
      </c>
      <c r="G43" s="24">
        <v>2</v>
      </c>
      <c r="H43" s="24">
        <v>2</v>
      </c>
      <c r="I43" s="24">
        <v>2</v>
      </c>
      <c r="J43" s="24">
        <v>2</v>
      </c>
      <c r="K43" s="24">
        <v>2</v>
      </c>
      <c r="L43" s="24">
        <v>2</v>
      </c>
      <c r="M43" s="24">
        <v>2</v>
      </c>
      <c r="N43" s="24">
        <v>2</v>
      </c>
      <c r="O43" s="24">
        <v>2</v>
      </c>
      <c r="P43" s="24">
        <v>2</v>
      </c>
      <c r="Q43" s="22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spans="1:33" ht="18" x14ac:dyDescent="0.2">
      <c r="A44" s="95"/>
      <c r="B44" s="25" t="s">
        <v>39</v>
      </c>
      <c r="C44" s="24" t="s">
        <v>65</v>
      </c>
      <c r="D44" s="39"/>
      <c r="E44" s="39">
        <v>4</v>
      </c>
      <c r="F44" s="39">
        <v>4</v>
      </c>
      <c r="G44" s="39">
        <v>4</v>
      </c>
      <c r="H44" s="39">
        <v>4</v>
      </c>
      <c r="I44" s="39">
        <v>4</v>
      </c>
      <c r="J44" s="39">
        <v>4</v>
      </c>
      <c r="K44" s="39">
        <v>4</v>
      </c>
      <c r="L44" s="39">
        <v>4</v>
      </c>
      <c r="M44" s="39">
        <v>4</v>
      </c>
      <c r="N44" s="39">
        <v>4</v>
      </c>
      <c r="O44" s="39">
        <v>4</v>
      </c>
      <c r="P44" s="39">
        <v>4</v>
      </c>
      <c r="Q44" s="61">
        <v>4</v>
      </c>
      <c r="R44" s="22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spans="1:33" ht="18" x14ac:dyDescent="0.2">
      <c r="A45" s="95" t="s">
        <v>40</v>
      </c>
      <c r="B45" s="25" t="s">
        <v>36</v>
      </c>
      <c r="C45" s="24" t="s">
        <v>68</v>
      </c>
      <c r="D45" s="38"/>
      <c r="E45" s="24">
        <v>10</v>
      </c>
      <c r="F45" s="24">
        <v>10</v>
      </c>
      <c r="G45" s="24">
        <v>10</v>
      </c>
      <c r="H45" s="24">
        <v>10</v>
      </c>
      <c r="I45" s="24">
        <v>10</v>
      </c>
      <c r="J45" s="24">
        <v>10</v>
      </c>
      <c r="K45" s="24">
        <v>10</v>
      </c>
      <c r="L45" s="24">
        <v>10</v>
      </c>
      <c r="M45" s="24">
        <v>10</v>
      </c>
      <c r="N45" s="24">
        <v>10</v>
      </c>
      <c r="O45" s="24">
        <v>10</v>
      </c>
      <c r="P45" s="24">
        <v>10</v>
      </c>
      <c r="Q45" s="24">
        <v>10</v>
      </c>
      <c r="R45" s="24">
        <v>10</v>
      </c>
      <c r="S45" s="22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spans="1:33" ht="18" x14ac:dyDescent="0.2">
      <c r="A46" s="95"/>
      <c r="B46" s="25" t="s">
        <v>37</v>
      </c>
      <c r="C46" s="24" t="s">
        <v>69</v>
      </c>
      <c r="D46" s="38"/>
      <c r="E46" s="24">
        <v>6</v>
      </c>
      <c r="F46" s="24">
        <v>6</v>
      </c>
      <c r="G46" s="24">
        <v>6</v>
      </c>
      <c r="H46" s="24">
        <v>6</v>
      </c>
      <c r="I46" s="24">
        <v>6</v>
      </c>
      <c r="J46" s="24">
        <v>6</v>
      </c>
      <c r="K46" s="24">
        <v>6</v>
      </c>
      <c r="L46" s="24">
        <v>6</v>
      </c>
      <c r="M46" s="24">
        <v>6</v>
      </c>
      <c r="N46" s="24">
        <v>6</v>
      </c>
      <c r="O46" s="24">
        <v>6</v>
      </c>
      <c r="P46" s="24">
        <v>6</v>
      </c>
      <c r="Q46" s="24">
        <v>6</v>
      </c>
      <c r="R46" s="24">
        <v>6</v>
      </c>
      <c r="S46" s="24">
        <v>6</v>
      </c>
      <c r="T46" s="22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</row>
    <row r="47" spans="1:33" ht="18" x14ac:dyDescent="0.2">
      <c r="A47" s="95"/>
      <c r="B47" s="25" t="s">
        <v>13</v>
      </c>
      <c r="C47" s="24" t="s">
        <v>66</v>
      </c>
      <c r="D47" s="38"/>
      <c r="E47" s="24">
        <v>4</v>
      </c>
      <c r="F47" s="24">
        <v>4</v>
      </c>
      <c r="G47" s="24">
        <v>4</v>
      </c>
      <c r="H47" s="24">
        <v>4</v>
      </c>
      <c r="I47" s="24">
        <v>4</v>
      </c>
      <c r="J47" s="24">
        <v>4</v>
      </c>
      <c r="K47" s="24">
        <v>4</v>
      </c>
      <c r="L47" s="24">
        <v>4</v>
      </c>
      <c r="M47" s="24">
        <v>4</v>
      </c>
      <c r="N47" s="24">
        <v>4</v>
      </c>
      <c r="O47" s="24">
        <v>4</v>
      </c>
      <c r="P47" s="24">
        <v>4</v>
      </c>
      <c r="Q47" s="24">
        <v>4</v>
      </c>
      <c r="R47" s="24">
        <v>4</v>
      </c>
      <c r="S47" s="24">
        <v>4</v>
      </c>
      <c r="T47" s="22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</row>
    <row r="48" spans="1:33" ht="18" x14ac:dyDescent="0.2">
      <c r="A48" s="95"/>
      <c r="B48" s="25" t="s">
        <v>14</v>
      </c>
      <c r="C48" s="24" t="s">
        <v>67</v>
      </c>
      <c r="D48" s="38"/>
      <c r="E48" s="24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>
        <v>4</v>
      </c>
      <c r="L48" s="24">
        <v>4</v>
      </c>
      <c r="M48" s="24">
        <v>4</v>
      </c>
      <c r="N48" s="24">
        <v>4</v>
      </c>
      <c r="O48" s="24">
        <v>4</v>
      </c>
      <c r="P48" s="24">
        <v>4</v>
      </c>
      <c r="Q48" s="24">
        <v>4</v>
      </c>
      <c r="R48" s="24">
        <v>4</v>
      </c>
      <c r="S48" s="24">
        <v>4</v>
      </c>
      <c r="T48" s="24">
        <v>4</v>
      </c>
      <c r="U48" s="22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</row>
    <row r="49" spans="1:33" ht="18" x14ac:dyDescent="0.2">
      <c r="A49" s="95"/>
      <c r="B49" s="25" t="s">
        <v>15</v>
      </c>
      <c r="C49" s="24" t="s">
        <v>67</v>
      </c>
      <c r="D49" s="38"/>
      <c r="E49" s="24">
        <v>4</v>
      </c>
      <c r="F49" s="24">
        <v>4</v>
      </c>
      <c r="G49" s="24">
        <v>4</v>
      </c>
      <c r="H49" s="24">
        <v>4</v>
      </c>
      <c r="I49" s="24">
        <v>4</v>
      </c>
      <c r="J49" s="24">
        <v>4</v>
      </c>
      <c r="K49" s="24">
        <v>4</v>
      </c>
      <c r="L49" s="24">
        <v>4</v>
      </c>
      <c r="M49" s="24">
        <v>4</v>
      </c>
      <c r="N49" s="24">
        <v>4</v>
      </c>
      <c r="O49" s="24">
        <v>4</v>
      </c>
      <c r="P49" s="24">
        <v>4</v>
      </c>
      <c r="Q49" s="24">
        <v>4</v>
      </c>
      <c r="R49" s="24">
        <v>4</v>
      </c>
      <c r="S49" s="24">
        <v>4</v>
      </c>
      <c r="T49" s="24">
        <v>4</v>
      </c>
      <c r="U49" s="24">
        <v>4</v>
      </c>
      <c r="V49" s="24">
        <v>4</v>
      </c>
      <c r="W49" s="22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</row>
    <row r="50" spans="1:33" ht="18" x14ac:dyDescent="0.2">
      <c r="A50" s="95"/>
      <c r="B50" s="25" t="s">
        <v>38</v>
      </c>
      <c r="C50" s="24" t="s">
        <v>66</v>
      </c>
      <c r="D50" s="38"/>
      <c r="E50" s="24">
        <v>4</v>
      </c>
      <c r="F50" s="24">
        <v>4</v>
      </c>
      <c r="G50" s="24">
        <v>4</v>
      </c>
      <c r="H50" s="24">
        <v>4</v>
      </c>
      <c r="I50" s="24">
        <v>4</v>
      </c>
      <c r="J50" s="24">
        <v>4</v>
      </c>
      <c r="K50" s="24">
        <v>4</v>
      </c>
      <c r="L50" s="24">
        <v>4</v>
      </c>
      <c r="M50" s="24">
        <v>4</v>
      </c>
      <c r="N50" s="24">
        <v>4</v>
      </c>
      <c r="O50" s="24">
        <v>4</v>
      </c>
      <c r="P50" s="24">
        <v>4</v>
      </c>
      <c r="Q50" s="24">
        <v>4</v>
      </c>
      <c r="R50" s="24">
        <v>4</v>
      </c>
      <c r="S50" s="24">
        <v>4</v>
      </c>
      <c r="T50" s="24">
        <v>4</v>
      </c>
      <c r="U50" s="24">
        <v>4</v>
      </c>
      <c r="V50" s="24">
        <v>2</v>
      </c>
      <c r="W50" s="22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</row>
    <row r="51" spans="1:33" ht="18" x14ac:dyDescent="0.2">
      <c r="A51" s="95"/>
      <c r="B51" s="25" t="s">
        <v>44</v>
      </c>
      <c r="C51" s="24" t="s">
        <v>67</v>
      </c>
      <c r="D51" s="38"/>
      <c r="E51" s="38">
        <v>4</v>
      </c>
      <c r="F51" s="38">
        <v>4</v>
      </c>
      <c r="G51" s="38">
        <v>4</v>
      </c>
      <c r="H51" s="38">
        <v>4</v>
      </c>
      <c r="I51" s="38">
        <v>4</v>
      </c>
      <c r="J51" s="38">
        <v>4</v>
      </c>
      <c r="K51" s="38">
        <v>4</v>
      </c>
      <c r="L51" s="38">
        <v>4</v>
      </c>
      <c r="M51" s="38">
        <v>4</v>
      </c>
      <c r="N51" s="38">
        <v>4</v>
      </c>
      <c r="O51" s="38">
        <v>4</v>
      </c>
      <c r="P51" s="38">
        <v>4</v>
      </c>
      <c r="Q51" s="38">
        <v>4</v>
      </c>
      <c r="R51" s="38">
        <v>4</v>
      </c>
      <c r="S51" s="38">
        <v>4</v>
      </c>
      <c r="T51" s="38">
        <v>4</v>
      </c>
      <c r="U51" s="38">
        <v>4</v>
      </c>
      <c r="V51" s="38">
        <v>4</v>
      </c>
      <c r="W51" s="38">
        <v>4</v>
      </c>
      <c r="X51" s="22">
        <v>0</v>
      </c>
      <c r="Y51" s="62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</row>
    <row r="52" spans="1:33" ht="18" x14ac:dyDescent="0.2">
      <c r="A52" s="95"/>
      <c r="B52" s="25" t="s">
        <v>16</v>
      </c>
      <c r="C52" s="24" t="s">
        <v>66</v>
      </c>
      <c r="D52" s="38"/>
      <c r="E52" s="24">
        <v>4</v>
      </c>
      <c r="F52" s="24">
        <v>4</v>
      </c>
      <c r="G52" s="24">
        <v>4</v>
      </c>
      <c r="H52" s="24">
        <v>4</v>
      </c>
      <c r="I52" s="24">
        <v>4</v>
      </c>
      <c r="J52" s="24">
        <v>4</v>
      </c>
      <c r="K52" s="24">
        <v>4</v>
      </c>
      <c r="L52" s="24">
        <v>4</v>
      </c>
      <c r="M52" s="24">
        <v>4</v>
      </c>
      <c r="N52" s="24">
        <v>4</v>
      </c>
      <c r="O52" s="24">
        <v>4</v>
      </c>
      <c r="P52" s="24">
        <v>4</v>
      </c>
      <c r="Q52" s="24">
        <v>4</v>
      </c>
      <c r="R52" s="24">
        <v>4</v>
      </c>
      <c r="S52" s="24">
        <v>4</v>
      </c>
      <c r="T52" s="24">
        <v>4</v>
      </c>
      <c r="U52" s="24">
        <v>4</v>
      </c>
      <c r="V52" s="24">
        <v>4</v>
      </c>
      <c r="W52" s="24">
        <v>4</v>
      </c>
      <c r="X52" s="24">
        <v>4</v>
      </c>
      <c r="Y52" s="22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</row>
    <row r="53" spans="1:33" ht="18" x14ac:dyDescent="0.2">
      <c r="A53" s="95"/>
      <c r="B53" s="25" t="s">
        <v>22</v>
      </c>
      <c r="C53" s="24" t="s">
        <v>66</v>
      </c>
      <c r="D53" s="37"/>
      <c r="E53" s="37">
        <v>4</v>
      </c>
      <c r="F53" s="37">
        <v>4</v>
      </c>
      <c r="G53" s="37">
        <v>4</v>
      </c>
      <c r="H53" s="37">
        <v>4</v>
      </c>
      <c r="I53" s="37">
        <v>4</v>
      </c>
      <c r="J53" s="37">
        <v>4</v>
      </c>
      <c r="K53" s="37">
        <v>4</v>
      </c>
      <c r="L53" s="37">
        <v>4</v>
      </c>
      <c r="M53" s="37">
        <v>4</v>
      </c>
      <c r="N53" s="37">
        <v>4</v>
      </c>
      <c r="O53" s="37">
        <v>4</v>
      </c>
      <c r="P53" s="37">
        <v>4</v>
      </c>
      <c r="Q53" s="37">
        <v>4</v>
      </c>
      <c r="R53" s="37">
        <v>4</v>
      </c>
      <c r="S53" s="37">
        <v>4</v>
      </c>
      <c r="T53" s="37">
        <v>4</v>
      </c>
      <c r="U53" s="37">
        <v>4</v>
      </c>
      <c r="V53" s="37">
        <v>4</v>
      </c>
      <c r="W53" s="37">
        <v>4</v>
      </c>
      <c r="X53" s="37">
        <v>4</v>
      </c>
      <c r="Y53" s="37">
        <v>4</v>
      </c>
      <c r="Z53" s="22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</row>
    <row r="54" spans="1:33" ht="18" x14ac:dyDescent="0.2">
      <c r="A54" s="95"/>
      <c r="B54" s="25" t="s">
        <v>59</v>
      </c>
      <c r="C54" s="24" t="s">
        <v>67</v>
      </c>
      <c r="D54" s="37"/>
      <c r="E54" s="37">
        <v>4</v>
      </c>
      <c r="F54" s="37">
        <v>4</v>
      </c>
      <c r="G54" s="37">
        <v>4</v>
      </c>
      <c r="H54" s="37">
        <v>4</v>
      </c>
      <c r="I54" s="37">
        <v>4</v>
      </c>
      <c r="J54" s="37">
        <v>4</v>
      </c>
      <c r="K54" s="37">
        <v>4</v>
      </c>
      <c r="L54" s="37">
        <v>4</v>
      </c>
      <c r="M54" s="37">
        <v>4</v>
      </c>
      <c r="N54" s="37">
        <v>4</v>
      </c>
      <c r="O54" s="37">
        <v>4</v>
      </c>
      <c r="P54" s="37">
        <v>4</v>
      </c>
      <c r="Q54" s="37">
        <v>4</v>
      </c>
      <c r="R54" s="37">
        <v>4</v>
      </c>
      <c r="S54" s="37">
        <v>4</v>
      </c>
      <c r="T54" s="37">
        <v>4</v>
      </c>
      <c r="U54" s="37">
        <v>4</v>
      </c>
      <c r="V54" s="37">
        <v>4</v>
      </c>
      <c r="W54" s="37">
        <v>4</v>
      </c>
      <c r="X54" s="37">
        <v>4</v>
      </c>
      <c r="Y54" s="37">
        <v>4</v>
      </c>
      <c r="Z54" s="22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</row>
    <row r="55" spans="1:33" ht="18" x14ac:dyDescent="0.2">
      <c r="A55" s="95"/>
      <c r="B55" s="25" t="s">
        <v>60</v>
      </c>
      <c r="C55" s="24" t="s">
        <v>66</v>
      </c>
      <c r="D55" s="37"/>
      <c r="E55" s="37">
        <v>4</v>
      </c>
      <c r="F55" s="37">
        <v>4</v>
      </c>
      <c r="G55" s="37">
        <v>4</v>
      </c>
      <c r="H55" s="37">
        <v>4</v>
      </c>
      <c r="I55" s="37">
        <v>4</v>
      </c>
      <c r="J55" s="37">
        <v>4</v>
      </c>
      <c r="K55" s="37">
        <v>4</v>
      </c>
      <c r="L55" s="37">
        <v>4</v>
      </c>
      <c r="M55" s="37">
        <v>4</v>
      </c>
      <c r="N55" s="37">
        <v>4</v>
      </c>
      <c r="O55" s="37">
        <v>4</v>
      </c>
      <c r="P55" s="37">
        <v>4</v>
      </c>
      <c r="Q55" s="37">
        <v>4</v>
      </c>
      <c r="R55" s="37">
        <v>4</v>
      </c>
      <c r="S55" s="37">
        <v>4</v>
      </c>
      <c r="T55" s="37">
        <v>4</v>
      </c>
      <c r="U55" s="37">
        <v>4</v>
      </c>
      <c r="V55" s="37">
        <v>4</v>
      </c>
      <c r="W55" s="37">
        <v>4</v>
      </c>
      <c r="X55" s="37">
        <v>4</v>
      </c>
      <c r="Y55" s="37">
        <v>4</v>
      </c>
      <c r="Z55" s="37">
        <v>4</v>
      </c>
      <c r="AA55" s="22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</row>
    <row r="56" spans="1:33" ht="18" x14ac:dyDescent="0.2">
      <c r="A56" s="95"/>
      <c r="B56" s="25" t="s">
        <v>39</v>
      </c>
      <c r="C56" s="37" t="s">
        <v>65</v>
      </c>
      <c r="D56" s="24"/>
      <c r="E56" s="24">
        <v>6</v>
      </c>
      <c r="F56" s="24">
        <v>6</v>
      </c>
      <c r="G56" s="24">
        <v>6</v>
      </c>
      <c r="H56" s="24">
        <v>6</v>
      </c>
      <c r="I56" s="24">
        <v>6</v>
      </c>
      <c r="J56" s="24">
        <v>6</v>
      </c>
      <c r="K56" s="24">
        <v>6</v>
      </c>
      <c r="L56" s="24">
        <v>6</v>
      </c>
      <c r="M56" s="24">
        <v>6</v>
      </c>
      <c r="N56" s="24">
        <v>6</v>
      </c>
      <c r="O56" s="24">
        <v>6</v>
      </c>
      <c r="P56" s="24">
        <v>6</v>
      </c>
      <c r="Q56" s="24">
        <v>6</v>
      </c>
      <c r="R56" s="24">
        <v>6</v>
      </c>
      <c r="S56" s="24">
        <v>6</v>
      </c>
      <c r="T56" s="24">
        <v>6</v>
      </c>
      <c r="U56" s="24">
        <v>6</v>
      </c>
      <c r="V56" s="24">
        <v>6</v>
      </c>
      <c r="W56" s="24">
        <v>6</v>
      </c>
      <c r="X56" s="24">
        <v>6</v>
      </c>
      <c r="Y56" s="24">
        <v>6</v>
      </c>
      <c r="Z56" s="24">
        <v>6</v>
      </c>
      <c r="AA56" s="22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</row>
    <row r="57" spans="1:33" ht="18" x14ac:dyDescent="0.2">
      <c r="A57" s="95" t="s">
        <v>41</v>
      </c>
      <c r="B57" s="25" t="s">
        <v>37</v>
      </c>
      <c r="C57" s="24" t="s">
        <v>75</v>
      </c>
      <c r="D57" s="37"/>
      <c r="E57" s="24">
        <v>2</v>
      </c>
      <c r="F57" s="24">
        <v>2</v>
      </c>
      <c r="G57" s="24">
        <v>2</v>
      </c>
      <c r="H57" s="24">
        <v>2</v>
      </c>
      <c r="I57" s="24">
        <v>2</v>
      </c>
      <c r="J57" s="24">
        <v>2</v>
      </c>
      <c r="K57" s="24">
        <v>2</v>
      </c>
      <c r="L57" s="24">
        <v>2</v>
      </c>
      <c r="M57" s="24">
        <v>2</v>
      </c>
      <c r="N57" s="24">
        <v>2</v>
      </c>
      <c r="O57" s="24">
        <v>2</v>
      </c>
      <c r="P57" s="24">
        <v>2</v>
      </c>
      <c r="Q57" s="24">
        <v>2</v>
      </c>
      <c r="R57" s="24">
        <v>2</v>
      </c>
      <c r="S57" s="24">
        <v>2</v>
      </c>
      <c r="T57" s="24">
        <v>2</v>
      </c>
      <c r="U57" s="24">
        <v>2</v>
      </c>
      <c r="V57" s="24">
        <v>2</v>
      </c>
      <c r="W57" s="24">
        <v>2</v>
      </c>
      <c r="X57" s="24">
        <v>2</v>
      </c>
      <c r="Y57" s="24">
        <v>2</v>
      </c>
      <c r="Z57" s="24">
        <v>2</v>
      </c>
      <c r="AA57" s="24">
        <v>2</v>
      </c>
      <c r="AB57" s="22">
        <v>0</v>
      </c>
      <c r="AC57" s="62">
        <v>0</v>
      </c>
      <c r="AD57" s="62">
        <v>0</v>
      </c>
      <c r="AE57" s="37">
        <v>0</v>
      </c>
      <c r="AF57" s="37">
        <v>0</v>
      </c>
      <c r="AG57" s="37">
        <v>0</v>
      </c>
    </row>
    <row r="58" spans="1:33" ht="18" x14ac:dyDescent="0.2">
      <c r="A58" s="95"/>
      <c r="B58" s="25" t="s">
        <v>13</v>
      </c>
      <c r="C58" s="24" t="s">
        <v>71</v>
      </c>
      <c r="D58" s="37"/>
      <c r="E58" s="24">
        <v>1</v>
      </c>
      <c r="F58" s="24">
        <v>1</v>
      </c>
      <c r="G58" s="24">
        <v>1</v>
      </c>
      <c r="H58" s="24">
        <v>1</v>
      </c>
      <c r="I58" s="24">
        <v>1</v>
      </c>
      <c r="J58" s="24">
        <v>1</v>
      </c>
      <c r="K58" s="24">
        <v>1</v>
      </c>
      <c r="L58" s="24">
        <v>1</v>
      </c>
      <c r="M58" s="24">
        <v>1</v>
      </c>
      <c r="N58" s="24">
        <v>1</v>
      </c>
      <c r="O58" s="24">
        <v>1</v>
      </c>
      <c r="P58" s="24">
        <v>1</v>
      </c>
      <c r="Q58" s="24">
        <v>1</v>
      </c>
      <c r="R58" s="24">
        <v>1</v>
      </c>
      <c r="S58" s="24">
        <v>1</v>
      </c>
      <c r="T58" s="24">
        <v>1</v>
      </c>
      <c r="U58" s="24">
        <v>1</v>
      </c>
      <c r="V58" s="24">
        <v>1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B58" s="24">
        <v>1</v>
      </c>
      <c r="AC58" s="22">
        <v>0</v>
      </c>
      <c r="AD58" s="37">
        <v>0</v>
      </c>
      <c r="AE58" s="37">
        <v>0</v>
      </c>
      <c r="AF58" s="37">
        <v>0</v>
      </c>
      <c r="AG58" s="37">
        <v>0</v>
      </c>
    </row>
    <row r="59" spans="1:33" ht="18" x14ac:dyDescent="0.2">
      <c r="A59" s="95"/>
      <c r="B59" s="25" t="s">
        <v>14</v>
      </c>
      <c r="C59" s="24" t="s">
        <v>72</v>
      </c>
      <c r="D59" s="37"/>
      <c r="E59" s="24">
        <v>1</v>
      </c>
      <c r="F59" s="24">
        <v>1</v>
      </c>
      <c r="G59" s="24">
        <v>1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24">
        <v>1</v>
      </c>
      <c r="N59" s="24">
        <v>1</v>
      </c>
      <c r="O59" s="24">
        <v>1</v>
      </c>
      <c r="P59" s="24">
        <v>1</v>
      </c>
      <c r="Q59" s="24">
        <v>1</v>
      </c>
      <c r="R59" s="24">
        <v>1</v>
      </c>
      <c r="S59" s="24">
        <v>1</v>
      </c>
      <c r="T59" s="24">
        <v>1</v>
      </c>
      <c r="U59" s="24">
        <v>1</v>
      </c>
      <c r="V59" s="24">
        <v>1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B59" s="24">
        <v>1</v>
      </c>
      <c r="AC59" s="22">
        <v>0</v>
      </c>
      <c r="AD59" s="37">
        <v>0</v>
      </c>
      <c r="AE59" s="37">
        <v>0</v>
      </c>
      <c r="AF59" s="37">
        <v>0</v>
      </c>
      <c r="AG59" s="37">
        <v>0</v>
      </c>
    </row>
    <row r="60" spans="1:33" ht="18" x14ac:dyDescent="0.2">
      <c r="A60" s="95"/>
      <c r="B60" s="25" t="s">
        <v>15</v>
      </c>
      <c r="C60" s="24" t="s">
        <v>76</v>
      </c>
      <c r="D60" s="37"/>
      <c r="E60" s="24">
        <v>1</v>
      </c>
      <c r="F60" s="24">
        <v>1</v>
      </c>
      <c r="G60" s="24">
        <v>1</v>
      </c>
      <c r="H60" s="24">
        <v>1</v>
      </c>
      <c r="I60" s="24">
        <v>1</v>
      </c>
      <c r="J60" s="24">
        <v>1</v>
      </c>
      <c r="K60" s="24">
        <v>1</v>
      </c>
      <c r="L60" s="24">
        <v>1</v>
      </c>
      <c r="M60" s="24">
        <v>1</v>
      </c>
      <c r="N60" s="24">
        <v>1</v>
      </c>
      <c r="O60" s="24">
        <v>1</v>
      </c>
      <c r="P60" s="24">
        <v>1</v>
      </c>
      <c r="Q60" s="24">
        <v>1</v>
      </c>
      <c r="R60" s="24">
        <v>1</v>
      </c>
      <c r="S60" s="24">
        <v>1</v>
      </c>
      <c r="T60" s="24">
        <v>1</v>
      </c>
      <c r="U60" s="24">
        <v>1</v>
      </c>
      <c r="V60" s="24">
        <v>1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B60" s="24">
        <v>1</v>
      </c>
      <c r="AC60" s="22">
        <v>0</v>
      </c>
      <c r="AD60" s="37">
        <v>0</v>
      </c>
      <c r="AE60" s="37">
        <v>0</v>
      </c>
      <c r="AF60" s="37">
        <v>0</v>
      </c>
      <c r="AG60" s="37">
        <v>0</v>
      </c>
    </row>
    <row r="61" spans="1:33" ht="18" x14ac:dyDescent="0.2">
      <c r="A61" s="95"/>
      <c r="B61" s="25" t="s">
        <v>38</v>
      </c>
      <c r="C61" s="24" t="s">
        <v>74</v>
      </c>
      <c r="D61" s="37"/>
      <c r="E61" s="24">
        <v>2</v>
      </c>
      <c r="F61" s="24">
        <v>2</v>
      </c>
      <c r="G61" s="24">
        <v>2</v>
      </c>
      <c r="H61" s="24">
        <v>2</v>
      </c>
      <c r="I61" s="24">
        <v>2</v>
      </c>
      <c r="J61" s="24">
        <v>2</v>
      </c>
      <c r="K61" s="24">
        <v>2</v>
      </c>
      <c r="L61" s="24">
        <v>2</v>
      </c>
      <c r="M61" s="24">
        <v>2</v>
      </c>
      <c r="N61" s="24">
        <v>2</v>
      </c>
      <c r="O61" s="24">
        <v>2</v>
      </c>
      <c r="P61" s="24">
        <v>2</v>
      </c>
      <c r="Q61" s="24">
        <v>2</v>
      </c>
      <c r="R61" s="24">
        <v>2</v>
      </c>
      <c r="S61" s="24">
        <v>2</v>
      </c>
      <c r="T61" s="24">
        <v>2</v>
      </c>
      <c r="U61" s="24">
        <v>2</v>
      </c>
      <c r="V61" s="24">
        <v>2</v>
      </c>
      <c r="W61" s="24">
        <v>2</v>
      </c>
      <c r="X61" s="24">
        <v>2</v>
      </c>
      <c r="Y61" s="24">
        <v>2</v>
      </c>
      <c r="Z61" s="24">
        <v>2</v>
      </c>
      <c r="AA61" s="24">
        <v>2</v>
      </c>
      <c r="AB61" s="24">
        <v>2</v>
      </c>
      <c r="AC61" s="22">
        <v>0</v>
      </c>
      <c r="AD61" s="37">
        <v>0</v>
      </c>
      <c r="AE61" s="37">
        <v>0</v>
      </c>
      <c r="AF61" s="37">
        <v>0</v>
      </c>
      <c r="AG61" s="37">
        <v>0</v>
      </c>
    </row>
    <row r="62" spans="1:33" ht="18" x14ac:dyDescent="0.2">
      <c r="A62" s="95"/>
      <c r="B62" s="25" t="s">
        <v>44</v>
      </c>
      <c r="C62" s="24" t="s">
        <v>70</v>
      </c>
      <c r="D62" s="37"/>
      <c r="E62" s="24">
        <v>1</v>
      </c>
      <c r="F62" s="24">
        <v>1</v>
      </c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24">
        <v>1</v>
      </c>
      <c r="N62" s="24">
        <v>1</v>
      </c>
      <c r="O62" s="24">
        <v>1</v>
      </c>
      <c r="P62" s="24">
        <v>1</v>
      </c>
      <c r="Q62" s="24">
        <v>1</v>
      </c>
      <c r="R62" s="24">
        <v>1</v>
      </c>
      <c r="S62" s="24">
        <v>1</v>
      </c>
      <c r="T62" s="24">
        <v>1</v>
      </c>
      <c r="U62" s="24">
        <v>1</v>
      </c>
      <c r="V62" s="24">
        <v>1</v>
      </c>
      <c r="W62" s="24">
        <v>1</v>
      </c>
      <c r="X62" s="24">
        <v>1</v>
      </c>
      <c r="Y62" s="24">
        <v>1</v>
      </c>
      <c r="Z62" s="24">
        <v>1</v>
      </c>
      <c r="AA62" s="24">
        <v>1</v>
      </c>
      <c r="AB62" s="24">
        <v>1</v>
      </c>
      <c r="AC62" s="22">
        <v>0</v>
      </c>
      <c r="AD62" s="37">
        <v>0</v>
      </c>
      <c r="AE62" s="37">
        <v>0</v>
      </c>
      <c r="AF62" s="37">
        <v>0</v>
      </c>
      <c r="AG62" s="37">
        <v>0</v>
      </c>
    </row>
    <row r="63" spans="1:33" ht="18" x14ac:dyDescent="0.2">
      <c r="A63" s="95"/>
      <c r="B63" s="25" t="s">
        <v>16</v>
      </c>
      <c r="C63" s="24" t="s">
        <v>74</v>
      </c>
      <c r="D63" s="37"/>
      <c r="E63" s="24">
        <v>1</v>
      </c>
      <c r="F63" s="24">
        <v>1</v>
      </c>
      <c r="G63" s="24">
        <v>1</v>
      </c>
      <c r="H63" s="24">
        <v>1</v>
      </c>
      <c r="I63" s="24">
        <v>1</v>
      </c>
      <c r="J63" s="24">
        <v>1</v>
      </c>
      <c r="K63" s="24">
        <v>1</v>
      </c>
      <c r="L63" s="24">
        <v>1</v>
      </c>
      <c r="M63" s="24">
        <v>1</v>
      </c>
      <c r="N63" s="24">
        <v>1</v>
      </c>
      <c r="O63" s="24">
        <v>1</v>
      </c>
      <c r="P63" s="24">
        <v>1</v>
      </c>
      <c r="Q63" s="24">
        <v>1</v>
      </c>
      <c r="R63" s="24">
        <v>1</v>
      </c>
      <c r="S63" s="24">
        <v>1</v>
      </c>
      <c r="T63" s="24">
        <v>1</v>
      </c>
      <c r="U63" s="24">
        <v>1</v>
      </c>
      <c r="V63" s="24">
        <v>1</v>
      </c>
      <c r="W63" s="24">
        <v>1</v>
      </c>
      <c r="X63" s="24">
        <v>1</v>
      </c>
      <c r="Y63" s="24">
        <v>1</v>
      </c>
      <c r="Z63" s="24">
        <v>1</v>
      </c>
      <c r="AA63" s="24">
        <v>1</v>
      </c>
      <c r="AB63" s="24">
        <v>1</v>
      </c>
      <c r="AC63" s="22">
        <v>0</v>
      </c>
      <c r="AD63" s="37">
        <v>0</v>
      </c>
      <c r="AE63" s="37">
        <v>0</v>
      </c>
      <c r="AF63" s="37">
        <v>0</v>
      </c>
      <c r="AG63" s="37">
        <v>0</v>
      </c>
    </row>
    <row r="64" spans="1:33" ht="18" x14ac:dyDescent="0.2">
      <c r="A64" s="95"/>
      <c r="B64" s="25" t="s">
        <v>22</v>
      </c>
      <c r="C64" s="24" t="s">
        <v>71</v>
      </c>
      <c r="D64" s="37"/>
      <c r="E64" s="24">
        <v>1</v>
      </c>
      <c r="F64" s="24">
        <v>1</v>
      </c>
      <c r="G64" s="24">
        <v>1</v>
      </c>
      <c r="H64" s="24">
        <v>1</v>
      </c>
      <c r="I64" s="24">
        <v>1</v>
      </c>
      <c r="J64" s="24">
        <v>1</v>
      </c>
      <c r="K64" s="24">
        <v>1</v>
      </c>
      <c r="L64" s="24">
        <v>1</v>
      </c>
      <c r="M64" s="24">
        <v>1</v>
      </c>
      <c r="N64" s="24">
        <v>1</v>
      </c>
      <c r="O64" s="24">
        <v>1</v>
      </c>
      <c r="P64" s="24">
        <v>1</v>
      </c>
      <c r="Q64" s="24">
        <v>1</v>
      </c>
      <c r="R64" s="24">
        <v>1</v>
      </c>
      <c r="S64" s="24">
        <v>1</v>
      </c>
      <c r="T64" s="24">
        <v>1</v>
      </c>
      <c r="U64" s="24">
        <v>1</v>
      </c>
      <c r="V64" s="24">
        <v>1</v>
      </c>
      <c r="W64" s="24">
        <v>1</v>
      </c>
      <c r="X64" s="24">
        <v>1</v>
      </c>
      <c r="Y64" s="24">
        <v>1</v>
      </c>
      <c r="Z64" s="24">
        <v>1</v>
      </c>
      <c r="AA64" s="24">
        <v>1</v>
      </c>
      <c r="AB64" s="24">
        <v>1</v>
      </c>
      <c r="AC64" s="22">
        <v>0</v>
      </c>
      <c r="AD64" s="37">
        <v>0</v>
      </c>
      <c r="AE64" s="37">
        <v>0</v>
      </c>
      <c r="AF64" s="37">
        <v>0</v>
      </c>
      <c r="AG64" s="37">
        <v>0</v>
      </c>
    </row>
    <row r="65" spans="1:33" ht="18" x14ac:dyDescent="0.2">
      <c r="A65" s="95"/>
      <c r="B65" s="25" t="s">
        <v>59</v>
      </c>
      <c r="C65" s="24" t="s">
        <v>76</v>
      </c>
      <c r="D65" s="37"/>
      <c r="E65" s="37">
        <v>1</v>
      </c>
      <c r="F65" s="37">
        <v>1</v>
      </c>
      <c r="G65" s="37">
        <v>1</v>
      </c>
      <c r="H65" s="37">
        <v>1</v>
      </c>
      <c r="I65" s="37">
        <v>1</v>
      </c>
      <c r="J65" s="37">
        <v>1</v>
      </c>
      <c r="K65" s="37">
        <v>1</v>
      </c>
      <c r="L65" s="37">
        <v>1</v>
      </c>
      <c r="M65" s="37">
        <v>1</v>
      </c>
      <c r="N65" s="37">
        <v>1</v>
      </c>
      <c r="O65" s="37">
        <v>1</v>
      </c>
      <c r="P65" s="37">
        <v>1</v>
      </c>
      <c r="Q65" s="37">
        <v>1</v>
      </c>
      <c r="R65" s="37">
        <v>1</v>
      </c>
      <c r="S65" s="37">
        <v>1</v>
      </c>
      <c r="T65" s="37">
        <v>1</v>
      </c>
      <c r="U65" s="37">
        <v>1</v>
      </c>
      <c r="V65" s="37">
        <v>1</v>
      </c>
      <c r="W65" s="37">
        <v>1</v>
      </c>
      <c r="X65" s="37">
        <v>1</v>
      </c>
      <c r="Y65" s="37">
        <v>1</v>
      </c>
      <c r="Z65" s="37">
        <v>1</v>
      </c>
      <c r="AA65" s="37">
        <v>1</v>
      </c>
      <c r="AB65" s="37">
        <v>1</v>
      </c>
      <c r="AC65" s="22">
        <v>0</v>
      </c>
      <c r="AD65" s="37">
        <v>0</v>
      </c>
      <c r="AE65" s="37">
        <v>0</v>
      </c>
      <c r="AF65" s="37">
        <v>0</v>
      </c>
      <c r="AG65" s="37">
        <v>0</v>
      </c>
    </row>
    <row r="66" spans="1:33" ht="18" x14ac:dyDescent="0.2">
      <c r="A66" s="95"/>
      <c r="B66" s="25" t="s">
        <v>60</v>
      </c>
      <c r="C66" s="24" t="s">
        <v>71</v>
      </c>
      <c r="D66" s="37"/>
      <c r="E66" s="37">
        <v>1</v>
      </c>
      <c r="F66" s="37">
        <v>1</v>
      </c>
      <c r="G66" s="37">
        <v>1</v>
      </c>
      <c r="H66" s="37">
        <v>1</v>
      </c>
      <c r="I66" s="37">
        <v>1</v>
      </c>
      <c r="J66" s="37">
        <v>1</v>
      </c>
      <c r="K66" s="37">
        <v>1</v>
      </c>
      <c r="L66" s="37">
        <v>1</v>
      </c>
      <c r="M66" s="37">
        <v>1</v>
      </c>
      <c r="N66" s="37">
        <v>1</v>
      </c>
      <c r="O66" s="37">
        <v>1</v>
      </c>
      <c r="P66" s="37">
        <v>1</v>
      </c>
      <c r="Q66" s="37">
        <v>1</v>
      </c>
      <c r="R66" s="37">
        <v>1</v>
      </c>
      <c r="S66" s="37">
        <v>1</v>
      </c>
      <c r="T66" s="37">
        <v>1</v>
      </c>
      <c r="U66" s="37">
        <v>1</v>
      </c>
      <c r="V66" s="37">
        <v>1</v>
      </c>
      <c r="W66" s="37">
        <v>1</v>
      </c>
      <c r="X66" s="37">
        <v>1</v>
      </c>
      <c r="Y66" s="37">
        <v>1</v>
      </c>
      <c r="Z66" s="37">
        <v>1</v>
      </c>
      <c r="AA66" s="37">
        <v>1</v>
      </c>
      <c r="AB66" s="37">
        <v>1</v>
      </c>
      <c r="AC66" s="22">
        <v>0</v>
      </c>
      <c r="AD66" s="37">
        <v>0</v>
      </c>
      <c r="AE66" s="37">
        <v>0</v>
      </c>
      <c r="AF66" s="37">
        <v>0</v>
      </c>
      <c r="AG66" s="37">
        <v>0</v>
      </c>
    </row>
    <row r="67" spans="1:33" ht="18" x14ac:dyDescent="0.2">
      <c r="A67" s="95"/>
      <c r="B67" s="25" t="s">
        <v>61</v>
      </c>
      <c r="C67" s="24" t="s">
        <v>65</v>
      </c>
      <c r="D67" s="37"/>
      <c r="E67" s="24">
        <v>2</v>
      </c>
      <c r="F67" s="24">
        <v>2</v>
      </c>
      <c r="G67" s="24">
        <v>2</v>
      </c>
      <c r="H67" s="24">
        <v>2</v>
      </c>
      <c r="I67" s="24">
        <v>2</v>
      </c>
      <c r="J67" s="24">
        <v>2</v>
      </c>
      <c r="K67" s="24">
        <v>2</v>
      </c>
      <c r="L67" s="24">
        <v>2</v>
      </c>
      <c r="M67" s="24">
        <v>2</v>
      </c>
      <c r="N67" s="24">
        <v>2</v>
      </c>
      <c r="O67" s="24">
        <v>2</v>
      </c>
      <c r="P67" s="24">
        <v>2</v>
      </c>
      <c r="Q67" s="24">
        <v>2</v>
      </c>
      <c r="R67" s="24">
        <v>2</v>
      </c>
      <c r="S67" s="24">
        <v>2</v>
      </c>
      <c r="T67" s="24">
        <v>2</v>
      </c>
      <c r="U67" s="24">
        <v>2</v>
      </c>
      <c r="V67" s="24">
        <v>2</v>
      </c>
      <c r="W67" s="24">
        <v>2</v>
      </c>
      <c r="X67" s="24">
        <v>2</v>
      </c>
      <c r="Y67" s="24">
        <v>2</v>
      </c>
      <c r="Z67" s="24">
        <v>2</v>
      </c>
      <c r="AA67" s="24">
        <v>2</v>
      </c>
      <c r="AB67" s="24">
        <v>2</v>
      </c>
      <c r="AC67" s="22">
        <v>0</v>
      </c>
      <c r="AD67" s="37">
        <v>0</v>
      </c>
      <c r="AE67" s="37">
        <v>0</v>
      </c>
      <c r="AF67" s="37">
        <v>0</v>
      </c>
      <c r="AG67" s="37">
        <v>0</v>
      </c>
    </row>
    <row r="68" spans="1:33" ht="18" x14ac:dyDescent="0.2">
      <c r="A68" s="95" t="s">
        <v>42</v>
      </c>
      <c r="B68" s="25" t="s">
        <v>36</v>
      </c>
      <c r="C68" s="24" t="s">
        <v>70</v>
      </c>
      <c r="D68" s="37"/>
      <c r="E68" s="24">
        <v>2</v>
      </c>
      <c r="F68" s="24">
        <v>2</v>
      </c>
      <c r="G68" s="24">
        <v>2</v>
      </c>
      <c r="H68" s="24">
        <v>2</v>
      </c>
      <c r="I68" s="24">
        <v>2</v>
      </c>
      <c r="J68" s="24">
        <v>2</v>
      </c>
      <c r="K68" s="24">
        <v>2</v>
      </c>
      <c r="L68" s="24">
        <v>2</v>
      </c>
      <c r="M68" s="24">
        <v>2</v>
      </c>
      <c r="N68" s="24">
        <v>2</v>
      </c>
      <c r="O68" s="24">
        <v>2</v>
      </c>
      <c r="P68" s="24">
        <v>2</v>
      </c>
      <c r="Q68" s="24">
        <v>2</v>
      </c>
      <c r="R68" s="24">
        <v>2</v>
      </c>
      <c r="S68" s="24">
        <v>2</v>
      </c>
      <c r="T68" s="24">
        <v>2</v>
      </c>
      <c r="U68" s="24">
        <v>2</v>
      </c>
      <c r="V68" s="24">
        <v>2</v>
      </c>
      <c r="W68" s="24">
        <v>2</v>
      </c>
      <c r="X68" s="24">
        <v>2</v>
      </c>
      <c r="Y68" s="24">
        <v>2</v>
      </c>
      <c r="Z68" s="24">
        <v>2</v>
      </c>
      <c r="AA68" s="24">
        <v>2</v>
      </c>
      <c r="AB68" s="24">
        <v>2</v>
      </c>
      <c r="AC68" s="24">
        <v>2</v>
      </c>
      <c r="AD68" s="22">
        <v>0</v>
      </c>
      <c r="AE68" s="62">
        <v>0</v>
      </c>
      <c r="AF68" s="37">
        <v>0</v>
      </c>
      <c r="AG68" s="37">
        <v>0</v>
      </c>
    </row>
    <row r="69" spans="1:33" ht="18" x14ac:dyDescent="0.2">
      <c r="A69" s="95"/>
      <c r="B69" s="25" t="s">
        <v>37</v>
      </c>
      <c r="C69" s="24" t="s">
        <v>74</v>
      </c>
      <c r="D69" s="37"/>
      <c r="E69" s="37">
        <v>3</v>
      </c>
      <c r="F69" s="37">
        <v>3</v>
      </c>
      <c r="G69" s="37">
        <v>3</v>
      </c>
      <c r="H69" s="37">
        <v>3</v>
      </c>
      <c r="I69" s="37">
        <v>3</v>
      </c>
      <c r="J69" s="37">
        <v>3</v>
      </c>
      <c r="K69" s="37">
        <v>3</v>
      </c>
      <c r="L69" s="37">
        <v>3</v>
      </c>
      <c r="M69" s="37">
        <v>3</v>
      </c>
      <c r="N69" s="37">
        <v>3</v>
      </c>
      <c r="O69" s="37">
        <v>3</v>
      </c>
      <c r="P69" s="37">
        <v>3</v>
      </c>
      <c r="Q69" s="37">
        <v>3</v>
      </c>
      <c r="R69" s="37">
        <v>3</v>
      </c>
      <c r="S69" s="37">
        <v>3</v>
      </c>
      <c r="T69" s="37">
        <v>3</v>
      </c>
      <c r="U69" s="37">
        <v>3</v>
      </c>
      <c r="V69" s="37">
        <v>3</v>
      </c>
      <c r="W69" s="37">
        <v>3</v>
      </c>
      <c r="X69" s="37">
        <v>3</v>
      </c>
      <c r="Y69" s="37">
        <v>3</v>
      </c>
      <c r="Z69" s="37">
        <v>3</v>
      </c>
      <c r="AA69" s="37">
        <v>3</v>
      </c>
      <c r="AB69" s="37">
        <v>3</v>
      </c>
      <c r="AC69" s="37">
        <v>3</v>
      </c>
      <c r="AD69" s="37">
        <v>3</v>
      </c>
      <c r="AE69" s="22">
        <v>0</v>
      </c>
      <c r="AF69" s="37">
        <v>0</v>
      </c>
      <c r="AG69" s="37">
        <v>0</v>
      </c>
    </row>
    <row r="70" spans="1:33" ht="18" x14ac:dyDescent="0.2">
      <c r="A70" s="95"/>
      <c r="B70" s="25" t="s">
        <v>13</v>
      </c>
      <c r="C70" s="24" t="s">
        <v>70</v>
      </c>
      <c r="D70" s="37"/>
      <c r="E70" s="37">
        <v>2</v>
      </c>
      <c r="F70" s="37">
        <v>2</v>
      </c>
      <c r="G70" s="37">
        <v>2</v>
      </c>
      <c r="H70" s="37">
        <v>2</v>
      </c>
      <c r="I70" s="37">
        <v>2</v>
      </c>
      <c r="J70" s="37">
        <v>2</v>
      </c>
      <c r="K70" s="37">
        <v>2</v>
      </c>
      <c r="L70" s="37">
        <v>2</v>
      </c>
      <c r="M70" s="37">
        <v>2</v>
      </c>
      <c r="N70" s="37">
        <v>2</v>
      </c>
      <c r="O70" s="37">
        <v>2</v>
      </c>
      <c r="P70" s="37">
        <v>2</v>
      </c>
      <c r="Q70" s="37">
        <v>2</v>
      </c>
      <c r="R70" s="37">
        <v>2</v>
      </c>
      <c r="S70" s="37">
        <v>2</v>
      </c>
      <c r="T70" s="37">
        <v>2</v>
      </c>
      <c r="U70" s="37">
        <v>2</v>
      </c>
      <c r="V70" s="37">
        <v>2</v>
      </c>
      <c r="W70" s="37">
        <v>2</v>
      </c>
      <c r="X70" s="37">
        <v>2</v>
      </c>
      <c r="Y70" s="37">
        <v>2</v>
      </c>
      <c r="Z70" s="37">
        <v>2</v>
      </c>
      <c r="AA70" s="37">
        <v>2</v>
      </c>
      <c r="AB70" s="37">
        <v>2</v>
      </c>
      <c r="AC70" s="37">
        <v>2</v>
      </c>
      <c r="AD70" s="37">
        <v>2</v>
      </c>
      <c r="AE70" s="22">
        <v>0</v>
      </c>
      <c r="AF70" s="37">
        <v>0</v>
      </c>
      <c r="AG70" s="37">
        <v>0</v>
      </c>
    </row>
    <row r="71" spans="1:33" ht="18" x14ac:dyDescent="0.2">
      <c r="A71" s="95"/>
      <c r="B71" s="25" t="s">
        <v>14</v>
      </c>
      <c r="C71" s="24" t="s">
        <v>74</v>
      </c>
      <c r="D71" s="37"/>
      <c r="E71" s="24">
        <v>2</v>
      </c>
      <c r="F71" s="24">
        <v>2</v>
      </c>
      <c r="G71" s="24">
        <v>2</v>
      </c>
      <c r="H71" s="24">
        <v>2</v>
      </c>
      <c r="I71" s="24">
        <v>2</v>
      </c>
      <c r="J71" s="24">
        <v>2</v>
      </c>
      <c r="K71" s="24">
        <v>2</v>
      </c>
      <c r="L71" s="24">
        <v>2</v>
      </c>
      <c r="M71" s="24">
        <v>2</v>
      </c>
      <c r="N71" s="24">
        <v>2</v>
      </c>
      <c r="O71" s="24">
        <v>2</v>
      </c>
      <c r="P71" s="24">
        <v>2</v>
      </c>
      <c r="Q71" s="24">
        <v>2</v>
      </c>
      <c r="R71" s="24">
        <v>2</v>
      </c>
      <c r="S71" s="24">
        <v>2</v>
      </c>
      <c r="T71" s="24">
        <v>2</v>
      </c>
      <c r="U71" s="24">
        <v>2</v>
      </c>
      <c r="V71" s="24">
        <v>2</v>
      </c>
      <c r="W71" s="24">
        <v>2</v>
      </c>
      <c r="X71" s="24">
        <v>2</v>
      </c>
      <c r="Y71" s="24">
        <v>2</v>
      </c>
      <c r="Z71" s="24">
        <v>2</v>
      </c>
      <c r="AA71" s="24">
        <v>2</v>
      </c>
      <c r="AB71" s="24">
        <v>2</v>
      </c>
      <c r="AC71" s="24">
        <v>2</v>
      </c>
      <c r="AD71" s="24">
        <v>2</v>
      </c>
      <c r="AE71" s="22">
        <v>0</v>
      </c>
      <c r="AF71" s="37">
        <v>0</v>
      </c>
      <c r="AG71" s="37">
        <v>0</v>
      </c>
    </row>
    <row r="72" spans="1:33" ht="18" x14ac:dyDescent="0.2">
      <c r="A72" s="95"/>
      <c r="B72" s="25" t="s">
        <v>15</v>
      </c>
      <c r="C72" s="24" t="s">
        <v>71</v>
      </c>
      <c r="D72" s="37"/>
      <c r="E72" s="37">
        <v>3</v>
      </c>
      <c r="F72" s="37">
        <v>3</v>
      </c>
      <c r="G72" s="37">
        <v>3</v>
      </c>
      <c r="H72" s="37">
        <v>3</v>
      </c>
      <c r="I72" s="37">
        <v>3</v>
      </c>
      <c r="J72" s="37">
        <v>3</v>
      </c>
      <c r="K72" s="37">
        <v>3</v>
      </c>
      <c r="L72" s="37">
        <v>3</v>
      </c>
      <c r="M72" s="37">
        <v>3</v>
      </c>
      <c r="N72" s="37">
        <v>3</v>
      </c>
      <c r="O72" s="37">
        <v>3</v>
      </c>
      <c r="P72" s="37">
        <v>3</v>
      </c>
      <c r="Q72" s="37">
        <v>3</v>
      </c>
      <c r="R72" s="37">
        <v>3</v>
      </c>
      <c r="S72" s="37">
        <v>3</v>
      </c>
      <c r="T72" s="37">
        <v>3</v>
      </c>
      <c r="U72" s="37">
        <v>3</v>
      </c>
      <c r="V72" s="37">
        <v>3</v>
      </c>
      <c r="W72" s="37">
        <v>3</v>
      </c>
      <c r="X72" s="37">
        <v>3</v>
      </c>
      <c r="Y72" s="37">
        <v>3</v>
      </c>
      <c r="Z72" s="37">
        <v>3</v>
      </c>
      <c r="AA72" s="37">
        <v>3</v>
      </c>
      <c r="AB72" s="37">
        <v>3</v>
      </c>
      <c r="AC72" s="37">
        <v>3</v>
      </c>
      <c r="AD72" s="37">
        <v>3</v>
      </c>
      <c r="AE72" s="22">
        <v>0</v>
      </c>
      <c r="AF72" s="37">
        <v>0</v>
      </c>
      <c r="AG72" s="37">
        <v>0</v>
      </c>
    </row>
    <row r="73" spans="1:33" ht="18" x14ac:dyDescent="0.2">
      <c r="A73" s="95"/>
      <c r="B73" s="25" t="s">
        <v>38</v>
      </c>
      <c r="C73" s="24" t="s">
        <v>76</v>
      </c>
      <c r="D73" s="37"/>
      <c r="E73" s="24">
        <v>2</v>
      </c>
      <c r="F73" s="24">
        <v>2</v>
      </c>
      <c r="G73" s="24">
        <v>2</v>
      </c>
      <c r="H73" s="24">
        <v>2</v>
      </c>
      <c r="I73" s="24">
        <v>2</v>
      </c>
      <c r="J73" s="24">
        <v>2</v>
      </c>
      <c r="K73" s="24">
        <v>2</v>
      </c>
      <c r="L73" s="24">
        <v>2</v>
      </c>
      <c r="M73" s="24">
        <v>2</v>
      </c>
      <c r="N73" s="24">
        <v>2</v>
      </c>
      <c r="O73" s="24">
        <v>2</v>
      </c>
      <c r="P73" s="24">
        <v>2</v>
      </c>
      <c r="Q73" s="24">
        <v>2</v>
      </c>
      <c r="R73" s="24">
        <v>2</v>
      </c>
      <c r="S73" s="24">
        <v>2</v>
      </c>
      <c r="T73" s="24">
        <v>2</v>
      </c>
      <c r="U73" s="24">
        <v>2</v>
      </c>
      <c r="V73" s="24">
        <v>2</v>
      </c>
      <c r="W73" s="24">
        <v>2</v>
      </c>
      <c r="X73" s="24">
        <v>2</v>
      </c>
      <c r="Y73" s="24">
        <v>2</v>
      </c>
      <c r="Z73" s="24">
        <v>2</v>
      </c>
      <c r="AA73" s="24">
        <v>2</v>
      </c>
      <c r="AB73" s="24">
        <v>2</v>
      </c>
      <c r="AC73" s="24">
        <v>2</v>
      </c>
      <c r="AD73" s="24">
        <v>2</v>
      </c>
      <c r="AE73" s="22">
        <v>0</v>
      </c>
      <c r="AF73" s="37">
        <v>0</v>
      </c>
      <c r="AG73" s="37">
        <v>0</v>
      </c>
    </row>
    <row r="74" spans="1:33" ht="18" x14ac:dyDescent="0.2">
      <c r="A74" s="95"/>
      <c r="B74" s="25" t="s">
        <v>44</v>
      </c>
      <c r="C74" s="24" t="s">
        <v>71</v>
      </c>
      <c r="D74" s="37"/>
      <c r="E74" s="37">
        <v>1</v>
      </c>
      <c r="F74" s="37">
        <v>1</v>
      </c>
      <c r="G74" s="37">
        <v>1</v>
      </c>
      <c r="H74" s="37">
        <v>1</v>
      </c>
      <c r="I74" s="37">
        <v>1</v>
      </c>
      <c r="J74" s="37">
        <v>1</v>
      </c>
      <c r="K74" s="37">
        <v>1</v>
      </c>
      <c r="L74" s="37">
        <v>1</v>
      </c>
      <c r="M74" s="37">
        <v>1</v>
      </c>
      <c r="N74" s="37">
        <v>1</v>
      </c>
      <c r="O74" s="37">
        <v>1</v>
      </c>
      <c r="P74" s="37">
        <v>1</v>
      </c>
      <c r="Q74" s="37">
        <v>1</v>
      </c>
      <c r="R74" s="37">
        <v>1</v>
      </c>
      <c r="S74" s="37">
        <v>1</v>
      </c>
      <c r="T74" s="37">
        <v>1</v>
      </c>
      <c r="U74" s="37">
        <v>1</v>
      </c>
      <c r="V74" s="37">
        <v>1</v>
      </c>
      <c r="W74" s="37">
        <v>1</v>
      </c>
      <c r="X74" s="37">
        <v>1</v>
      </c>
      <c r="Y74" s="37">
        <v>1</v>
      </c>
      <c r="Z74" s="37">
        <v>1</v>
      </c>
      <c r="AA74" s="37">
        <v>1</v>
      </c>
      <c r="AB74" s="37">
        <v>1</v>
      </c>
      <c r="AC74" s="37">
        <v>1</v>
      </c>
      <c r="AD74" s="37">
        <v>1</v>
      </c>
      <c r="AE74" s="22">
        <v>0</v>
      </c>
      <c r="AF74" s="37">
        <v>0</v>
      </c>
      <c r="AG74" s="37">
        <v>0</v>
      </c>
    </row>
    <row r="75" spans="1:33" ht="18" x14ac:dyDescent="0.2">
      <c r="A75" s="95"/>
      <c r="B75" s="25" t="s">
        <v>16</v>
      </c>
      <c r="C75" s="24" t="s">
        <v>76</v>
      </c>
      <c r="D75" s="37"/>
      <c r="E75" s="24">
        <v>2</v>
      </c>
      <c r="F75" s="24">
        <v>2</v>
      </c>
      <c r="G75" s="24">
        <v>2</v>
      </c>
      <c r="H75" s="24">
        <v>2</v>
      </c>
      <c r="I75" s="24">
        <v>2</v>
      </c>
      <c r="J75" s="24">
        <v>2</v>
      </c>
      <c r="K75" s="24">
        <v>2</v>
      </c>
      <c r="L75" s="24">
        <v>2</v>
      </c>
      <c r="M75" s="24">
        <v>2</v>
      </c>
      <c r="N75" s="24">
        <v>2</v>
      </c>
      <c r="O75" s="24">
        <v>2</v>
      </c>
      <c r="P75" s="24">
        <v>2</v>
      </c>
      <c r="Q75" s="24">
        <v>2</v>
      </c>
      <c r="R75" s="24">
        <v>2</v>
      </c>
      <c r="S75" s="24">
        <v>2</v>
      </c>
      <c r="T75" s="24">
        <v>2</v>
      </c>
      <c r="U75" s="24">
        <v>2</v>
      </c>
      <c r="V75" s="24">
        <v>2</v>
      </c>
      <c r="W75" s="24">
        <v>2</v>
      </c>
      <c r="X75" s="24">
        <v>2</v>
      </c>
      <c r="Y75" s="24">
        <v>2</v>
      </c>
      <c r="Z75" s="24">
        <v>2</v>
      </c>
      <c r="AA75" s="24">
        <v>2</v>
      </c>
      <c r="AB75" s="24">
        <v>2</v>
      </c>
      <c r="AC75" s="24">
        <v>2</v>
      </c>
      <c r="AD75" s="24">
        <v>2</v>
      </c>
      <c r="AE75" s="22">
        <v>0</v>
      </c>
      <c r="AF75" s="37">
        <v>0</v>
      </c>
      <c r="AG75" s="37">
        <v>0</v>
      </c>
    </row>
    <row r="76" spans="1:33" ht="18" x14ac:dyDescent="0.2">
      <c r="A76" s="95"/>
      <c r="B76" s="25" t="s">
        <v>22</v>
      </c>
      <c r="C76" s="24" t="s">
        <v>70</v>
      </c>
      <c r="D76" s="37"/>
      <c r="E76" s="24">
        <v>1</v>
      </c>
      <c r="F76" s="24">
        <v>1</v>
      </c>
      <c r="G76" s="24">
        <v>1</v>
      </c>
      <c r="H76" s="24">
        <v>1</v>
      </c>
      <c r="I76" s="24">
        <v>1</v>
      </c>
      <c r="J76" s="24">
        <v>1</v>
      </c>
      <c r="K76" s="24">
        <v>1</v>
      </c>
      <c r="L76" s="24">
        <v>1</v>
      </c>
      <c r="M76" s="24">
        <v>1</v>
      </c>
      <c r="N76" s="24">
        <v>1</v>
      </c>
      <c r="O76" s="24">
        <v>1</v>
      </c>
      <c r="P76" s="24">
        <v>1</v>
      </c>
      <c r="Q76" s="24">
        <v>1</v>
      </c>
      <c r="R76" s="24">
        <v>1</v>
      </c>
      <c r="S76" s="24">
        <v>1</v>
      </c>
      <c r="T76" s="24">
        <v>1</v>
      </c>
      <c r="U76" s="24">
        <v>1</v>
      </c>
      <c r="V76" s="24">
        <v>1</v>
      </c>
      <c r="W76" s="24">
        <v>1</v>
      </c>
      <c r="X76" s="24">
        <v>1</v>
      </c>
      <c r="Y76" s="24">
        <v>1</v>
      </c>
      <c r="Z76" s="24">
        <v>1</v>
      </c>
      <c r="AA76" s="24">
        <v>1</v>
      </c>
      <c r="AB76" s="24">
        <v>1</v>
      </c>
      <c r="AC76" s="24">
        <v>1</v>
      </c>
      <c r="AD76" s="24">
        <v>1</v>
      </c>
      <c r="AE76" s="22">
        <v>0</v>
      </c>
      <c r="AF76" s="37">
        <v>0</v>
      </c>
      <c r="AG76" s="37">
        <v>0</v>
      </c>
    </row>
    <row r="77" spans="1:33" ht="18" x14ac:dyDescent="0.2">
      <c r="A77" s="95"/>
      <c r="B77" s="25" t="s">
        <v>59</v>
      </c>
      <c r="C77" s="24" t="s">
        <v>71</v>
      </c>
      <c r="D77" s="37"/>
      <c r="E77" s="24">
        <v>1</v>
      </c>
      <c r="F77" s="24">
        <v>1</v>
      </c>
      <c r="G77" s="24">
        <v>1</v>
      </c>
      <c r="H77" s="24">
        <v>1</v>
      </c>
      <c r="I77" s="24">
        <v>1</v>
      </c>
      <c r="J77" s="24">
        <v>1</v>
      </c>
      <c r="K77" s="24">
        <v>1</v>
      </c>
      <c r="L77" s="24">
        <v>1</v>
      </c>
      <c r="M77" s="24">
        <v>1</v>
      </c>
      <c r="N77" s="24">
        <v>1</v>
      </c>
      <c r="O77" s="24">
        <v>1</v>
      </c>
      <c r="P77" s="24">
        <v>1</v>
      </c>
      <c r="Q77" s="24">
        <v>1</v>
      </c>
      <c r="R77" s="24">
        <v>1</v>
      </c>
      <c r="S77" s="24">
        <v>1</v>
      </c>
      <c r="T77" s="24">
        <v>1</v>
      </c>
      <c r="U77" s="24">
        <v>1</v>
      </c>
      <c r="V77" s="24">
        <v>1</v>
      </c>
      <c r="W77" s="24">
        <v>1</v>
      </c>
      <c r="X77" s="24">
        <v>1</v>
      </c>
      <c r="Y77" s="24">
        <v>1</v>
      </c>
      <c r="Z77" s="24">
        <v>1</v>
      </c>
      <c r="AA77" s="24">
        <v>1</v>
      </c>
      <c r="AB77" s="24">
        <v>1</v>
      </c>
      <c r="AC77" s="24">
        <v>1</v>
      </c>
      <c r="AD77" s="24">
        <v>1</v>
      </c>
      <c r="AE77" s="22">
        <v>0</v>
      </c>
      <c r="AF77" s="37">
        <v>0</v>
      </c>
      <c r="AG77" s="37">
        <v>0</v>
      </c>
    </row>
    <row r="78" spans="1:33" ht="18" x14ac:dyDescent="0.2">
      <c r="A78" s="95"/>
      <c r="B78" s="25" t="s">
        <v>60</v>
      </c>
      <c r="C78" s="24" t="s">
        <v>76</v>
      </c>
      <c r="D78" s="37"/>
      <c r="E78" s="24">
        <v>1</v>
      </c>
      <c r="F78" s="24">
        <v>1</v>
      </c>
      <c r="G78" s="24">
        <v>1</v>
      </c>
      <c r="H78" s="24">
        <v>1</v>
      </c>
      <c r="I78" s="24">
        <v>1</v>
      </c>
      <c r="J78" s="24">
        <v>1</v>
      </c>
      <c r="K78" s="24">
        <v>1</v>
      </c>
      <c r="L78" s="24">
        <v>1</v>
      </c>
      <c r="M78" s="24">
        <v>1</v>
      </c>
      <c r="N78" s="24">
        <v>1</v>
      </c>
      <c r="O78" s="24">
        <v>1</v>
      </c>
      <c r="P78" s="24">
        <v>1</v>
      </c>
      <c r="Q78" s="24">
        <v>1</v>
      </c>
      <c r="R78" s="24">
        <v>1</v>
      </c>
      <c r="S78" s="24">
        <v>1</v>
      </c>
      <c r="T78" s="24">
        <v>1</v>
      </c>
      <c r="U78" s="24">
        <v>1</v>
      </c>
      <c r="V78" s="24">
        <v>1</v>
      </c>
      <c r="W78" s="24">
        <v>1</v>
      </c>
      <c r="X78" s="24">
        <v>1</v>
      </c>
      <c r="Y78" s="24">
        <v>1</v>
      </c>
      <c r="Z78" s="24">
        <v>1</v>
      </c>
      <c r="AA78" s="24">
        <v>1</v>
      </c>
      <c r="AB78" s="24">
        <v>1</v>
      </c>
      <c r="AC78" s="24">
        <v>1</v>
      </c>
      <c r="AD78" s="24">
        <v>1</v>
      </c>
      <c r="AE78" s="22">
        <v>0</v>
      </c>
      <c r="AF78" s="37">
        <v>0</v>
      </c>
      <c r="AG78" s="37">
        <v>0</v>
      </c>
    </row>
    <row r="79" spans="1:33" ht="18" x14ac:dyDescent="0.2">
      <c r="A79" s="95"/>
      <c r="B79" s="25" t="s">
        <v>39</v>
      </c>
      <c r="C79" s="24" t="s">
        <v>65</v>
      </c>
      <c r="D79" s="37"/>
      <c r="E79" s="24">
        <v>4</v>
      </c>
      <c r="F79" s="24">
        <v>2</v>
      </c>
      <c r="G79" s="24">
        <v>2</v>
      </c>
      <c r="H79" s="24">
        <v>2</v>
      </c>
      <c r="I79" s="24">
        <v>2</v>
      </c>
      <c r="J79" s="24">
        <v>2</v>
      </c>
      <c r="K79" s="24">
        <v>2</v>
      </c>
      <c r="L79" s="24">
        <v>2</v>
      </c>
      <c r="M79" s="24">
        <v>2</v>
      </c>
      <c r="N79" s="24">
        <v>2</v>
      </c>
      <c r="O79" s="24">
        <v>2</v>
      </c>
      <c r="P79" s="24">
        <v>2</v>
      </c>
      <c r="Q79" s="24">
        <v>2</v>
      </c>
      <c r="R79" s="24">
        <v>2</v>
      </c>
      <c r="S79" s="24">
        <v>2</v>
      </c>
      <c r="T79" s="24">
        <v>2</v>
      </c>
      <c r="U79" s="24">
        <v>2</v>
      </c>
      <c r="V79" s="24">
        <v>2</v>
      </c>
      <c r="W79" s="24">
        <v>2</v>
      </c>
      <c r="X79" s="24">
        <v>2</v>
      </c>
      <c r="Y79" s="24">
        <v>2</v>
      </c>
      <c r="Z79" s="24">
        <v>2</v>
      </c>
      <c r="AA79" s="24">
        <v>2</v>
      </c>
      <c r="AB79" s="24">
        <v>2</v>
      </c>
      <c r="AC79" s="24">
        <v>2</v>
      </c>
      <c r="AD79" s="24">
        <v>2</v>
      </c>
      <c r="AE79" s="22">
        <v>0</v>
      </c>
      <c r="AF79" s="37">
        <v>0</v>
      </c>
      <c r="AG79" s="37">
        <v>0</v>
      </c>
    </row>
    <row r="80" spans="1:33" ht="18" x14ac:dyDescent="0.2">
      <c r="A80" s="95" t="s">
        <v>43</v>
      </c>
      <c r="B80" s="25" t="s">
        <v>37</v>
      </c>
      <c r="C80" s="24" t="s">
        <v>68</v>
      </c>
      <c r="D80" s="37"/>
      <c r="E80" s="24">
        <v>1</v>
      </c>
      <c r="F80" s="24">
        <v>1</v>
      </c>
      <c r="G80" s="24">
        <v>1</v>
      </c>
      <c r="H80" s="24">
        <v>1</v>
      </c>
      <c r="I80" s="24">
        <v>1</v>
      </c>
      <c r="J80" s="24">
        <v>1</v>
      </c>
      <c r="K80" s="24">
        <v>1</v>
      </c>
      <c r="L80" s="24">
        <v>1</v>
      </c>
      <c r="M80" s="24">
        <v>1</v>
      </c>
      <c r="N80" s="24">
        <v>1</v>
      </c>
      <c r="O80" s="24">
        <v>1</v>
      </c>
      <c r="P80" s="24">
        <v>1</v>
      </c>
      <c r="Q80" s="24">
        <v>1</v>
      </c>
      <c r="R80" s="24">
        <v>1</v>
      </c>
      <c r="S80" s="24">
        <v>1</v>
      </c>
      <c r="T80" s="24">
        <v>1</v>
      </c>
      <c r="U80" s="24">
        <v>1</v>
      </c>
      <c r="V80" s="24">
        <v>1</v>
      </c>
      <c r="W80" s="24">
        <v>1</v>
      </c>
      <c r="X80" s="24">
        <v>1</v>
      </c>
      <c r="Y80" s="24">
        <v>1</v>
      </c>
      <c r="Z80" s="24">
        <v>1</v>
      </c>
      <c r="AA80" s="24">
        <v>1</v>
      </c>
      <c r="AB80" s="24">
        <v>1</v>
      </c>
      <c r="AC80" s="24">
        <v>1</v>
      </c>
      <c r="AD80" s="24">
        <v>1</v>
      </c>
      <c r="AE80" s="24">
        <v>1</v>
      </c>
      <c r="AF80" s="22">
        <v>0</v>
      </c>
      <c r="AG80" s="37">
        <v>0</v>
      </c>
    </row>
    <row r="81" spans="1:33" ht="18" x14ac:dyDescent="0.2">
      <c r="A81" s="95"/>
      <c r="B81" s="25" t="s">
        <v>13</v>
      </c>
      <c r="C81" s="24" t="s">
        <v>67</v>
      </c>
      <c r="D81" s="37"/>
      <c r="E81" s="24">
        <v>1</v>
      </c>
      <c r="F81" s="24">
        <v>1</v>
      </c>
      <c r="G81" s="24">
        <v>1</v>
      </c>
      <c r="H81" s="24">
        <v>1</v>
      </c>
      <c r="I81" s="24">
        <v>1</v>
      </c>
      <c r="J81" s="24">
        <v>1</v>
      </c>
      <c r="K81" s="24">
        <v>1</v>
      </c>
      <c r="L81" s="24">
        <v>1</v>
      </c>
      <c r="M81" s="24">
        <v>1</v>
      </c>
      <c r="N81" s="24">
        <v>1</v>
      </c>
      <c r="O81" s="24">
        <v>1</v>
      </c>
      <c r="P81" s="24">
        <v>1</v>
      </c>
      <c r="Q81" s="24">
        <v>1</v>
      </c>
      <c r="R81" s="24">
        <v>1</v>
      </c>
      <c r="S81" s="24">
        <v>1</v>
      </c>
      <c r="T81" s="24">
        <v>1</v>
      </c>
      <c r="U81" s="24">
        <v>1</v>
      </c>
      <c r="V81" s="24">
        <v>1</v>
      </c>
      <c r="W81" s="24">
        <v>1</v>
      </c>
      <c r="X81" s="24">
        <v>1</v>
      </c>
      <c r="Y81" s="24">
        <v>1</v>
      </c>
      <c r="Z81" s="24">
        <v>1</v>
      </c>
      <c r="AA81" s="24">
        <v>1</v>
      </c>
      <c r="AB81" s="24">
        <v>1</v>
      </c>
      <c r="AC81" s="24">
        <v>1</v>
      </c>
      <c r="AD81" s="24">
        <v>1</v>
      </c>
      <c r="AE81" s="24">
        <v>1</v>
      </c>
      <c r="AF81" s="22">
        <v>0</v>
      </c>
      <c r="AG81" s="37">
        <v>0</v>
      </c>
    </row>
    <row r="82" spans="1:33" ht="18" x14ac:dyDescent="0.2">
      <c r="A82" s="95"/>
      <c r="B82" s="25" t="s">
        <v>14</v>
      </c>
      <c r="C82" s="24" t="s">
        <v>66</v>
      </c>
      <c r="D82" s="37"/>
      <c r="E82" s="24">
        <v>1</v>
      </c>
      <c r="F82" s="24">
        <v>1</v>
      </c>
      <c r="G82" s="24">
        <v>1</v>
      </c>
      <c r="H82" s="24">
        <v>1</v>
      </c>
      <c r="I82" s="24">
        <v>1</v>
      </c>
      <c r="J82" s="24">
        <v>1</v>
      </c>
      <c r="K82" s="24">
        <v>1</v>
      </c>
      <c r="L82" s="24">
        <v>1</v>
      </c>
      <c r="M82" s="24">
        <v>1</v>
      </c>
      <c r="N82" s="24">
        <v>1</v>
      </c>
      <c r="O82" s="24">
        <v>1</v>
      </c>
      <c r="P82" s="24">
        <v>1</v>
      </c>
      <c r="Q82" s="24">
        <v>1</v>
      </c>
      <c r="R82" s="24">
        <v>1</v>
      </c>
      <c r="S82" s="24">
        <v>1</v>
      </c>
      <c r="T82" s="24">
        <v>1</v>
      </c>
      <c r="U82" s="24">
        <v>1</v>
      </c>
      <c r="V82" s="24">
        <v>1</v>
      </c>
      <c r="W82" s="24">
        <v>1</v>
      </c>
      <c r="X82" s="24">
        <v>1</v>
      </c>
      <c r="Y82" s="24">
        <v>1</v>
      </c>
      <c r="Z82" s="24">
        <v>1</v>
      </c>
      <c r="AA82" s="24">
        <v>1</v>
      </c>
      <c r="AB82" s="24">
        <v>1</v>
      </c>
      <c r="AC82" s="24">
        <v>1</v>
      </c>
      <c r="AD82" s="24">
        <v>1</v>
      </c>
      <c r="AE82" s="24">
        <v>1</v>
      </c>
      <c r="AF82" s="22">
        <v>0</v>
      </c>
      <c r="AG82" s="37">
        <v>0</v>
      </c>
    </row>
    <row r="83" spans="1:33" ht="18" x14ac:dyDescent="0.2">
      <c r="A83" s="95"/>
      <c r="B83" s="25" t="s">
        <v>15</v>
      </c>
      <c r="C83" s="24" t="s">
        <v>66</v>
      </c>
      <c r="D83" s="37"/>
      <c r="E83" s="24">
        <v>1</v>
      </c>
      <c r="F83" s="24">
        <v>1</v>
      </c>
      <c r="G83" s="24">
        <v>1</v>
      </c>
      <c r="H83" s="24">
        <v>1</v>
      </c>
      <c r="I83" s="24">
        <v>1</v>
      </c>
      <c r="J83" s="24">
        <v>1</v>
      </c>
      <c r="K83" s="24">
        <v>1</v>
      </c>
      <c r="L83" s="24">
        <v>1</v>
      </c>
      <c r="M83" s="24">
        <v>1</v>
      </c>
      <c r="N83" s="24">
        <v>1</v>
      </c>
      <c r="O83" s="24">
        <v>1</v>
      </c>
      <c r="P83" s="24">
        <v>1</v>
      </c>
      <c r="Q83" s="24">
        <v>1</v>
      </c>
      <c r="R83" s="24">
        <v>1</v>
      </c>
      <c r="S83" s="24">
        <v>1</v>
      </c>
      <c r="T83" s="24">
        <v>1</v>
      </c>
      <c r="U83" s="24">
        <v>1</v>
      </c>
      <c r="V83" s="24">
        <v>1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B83" s="24">
        <v>1</v>
      </c>
      <c r="AC83" s="24">
        <v>1</v>
      </c>
      <c r="AD83" s="24">
        <v>1</v>
      </c>
      <c r="AE83" s="24">
        <v>1</v>
      </c>
      <c r="AF83" s="22">
        <v>0</v>
      </c>
      <c r="AG83" s="37">
        <v>0</v>
      </c>
    </row>
    <row r="84" spans="1:33" ht="18" x14ac:dyDescent="0.2">
      <c r="A84" s="95"/>
      <c r="B84" s="25" t="s">
        <v>38</v>
      </c>
      <c r="C84" s="24" t="s">
        <v>67</v>
      </c>
      <c r="D84" s="37"/>
      <c r="E84" s="24">
        <v>2</v>
      </c>
      <c r="F84" s="24">
        <v>2</v>
      </c>
      <c r="G84" s="24">
        <v>2</v>
      </c>
      <c r="H84" s="24">
        <v>2</v>
      </c>
      <c r="I84" s="24">
        <v>2</v>
      </c>
      <c r="J84" s="24">
        <v>2</v>
      </c>
      <c r="K84" s="24">
        <v>2</v>
      </c>
      <c r="L84" s="24">
        <v>2</v>
      </c>
      <c r="M84" s="24">
        <v>2</v>
      </c>
      <c r="N84" s="24">
        <v>2</v>
      </c>
      <c r="O84" s="24">
        <v>2</v>
      </c>
      <c r="P84" s="24">
        <v>2</v>
      </c>
      <c r="Q84" s="24">
        <v>2</v>
      </c>
      <c r="R84" s="24">
        <v>2</v>
      </c>
      <c r="S84" s="24">
        <v>2</v>
      </c>
      <c r="T84" s="24">
        <v>2</v>
      </c>
      <c r="U84" s="24">
        <v>2</v>
      </c>
      <c r="V84" s="24">
        <v>2</v>
      </c>
      <c r="W84" s="24">
        <v>2</v>
      </c>
      <c r="X84" s="24">
        <v>2</v>
      </c>
      <c r="Y84" s="24">
        <v>2</v>
      </c>
      <c r="Z84" s="24">
        <v>2</v>
      </c>
      <c r="AA84" s="24">
        <v>2</v>
      </c>
      <c r="AB84" s="24">
        <v>2</v>
      </c>
      <c r="AC84" s="24">
        <v>2</v>
      </c>
      <c r="AD84" s="24">
        <v>2</v>
      </c>
      <c r="AE84" s="24">
        <v>2</v>
      </c>
      <c r="AF84" s="22">
        <v>0</v>
      </c>
      <c r="AG84" s="37">
        <v>0</v>
      </c>
    </row>
    <row r="85" spans="1:33" ht="18" x14ac:dyDescent="0.2">
      <c r="A85" s="95"/>
      <c r="B85" s="25" t="s">
        <v>44</v>
      </c>
      <c r="C85" s="24" t="s">
        <v>66</v>
      </c>
      <c r="D85" s="37"/>
      <c r="E85" s="24">
        <v>1</v>
      </c>
      <c r="F85" s="24">
        <v>1</v>
      </c>
      <c r="G85" s="24">
        <v>1</v>
      </c>
      <c r="H85" s="24">
        <v>1</v>
      </c>
      <c r="I85" s="24">
        <v>1</v>
      </c>
      <c r="J85" s="24">
        <v>1</v>
      </c>
      <c r="K85" s="24">
        <v>1</v>
      </c>
      <c r="L85" s="24">
        <v>1</v>
      </c>
      <c r="M85" s="24">
        <v>1</v>
      </c>
      <c r="N85" s="24">
        <v>1</v>
      </c>
      <c r="O85" s="24">
        <v>1</v>
      </c>
      <c r="P85" s="24">
        <v>1</v>
      </c>
      <c r="Q85" s="24">
        <v>1</v>
      </c>
      <c r="R85" s="24">
        <v>1</v>
      </c>
      <c r="S85" s="24">
        <v>1</v>
      </c>
      <c r="T85" s="24">
        <v>1</v>
      </c>
      <c r="U85" s="24">
        <v>1</v>
      </c>
      <c r="V85" s="24">
        <v>1</v>
      </c>
      <c r="W85" s="24">
        <v>1</v>
      </c>
      <c r="X85" s="24">
        <v>1</v>
      </c>
      <c r="Y85" s="24">
        <v>1</v>
      </c>
      <c r="Z85" s="24">
        <v>1</v>
      </c>
      <c r="AA85" s="24">
        <v>1</v>
      </c>
      <c r="AB85" s="24">
        <v>1</v>
      </c>
      <c r="AC85" s="24">
        <v>1</v>
      </c>
      <c r="AD85" s="24">
        <v>1</v>
      </c>
      <c r="AE85" s="24">
        <v>1</v>
      </c>
      <c r="AF85" s="22">
        <v>0</v>
      </c>
      <c r="AG85" s="37">
        <v>0</v>
      </c>
    </row>
    <row r="86" spans="1:33" ht="18" x14ac:dyDescent="0.2">
      <c r="A86" s="95"/>
      <c r="B86" s="25" t="s">
        <v>16</v>
      </c>
      <c r="C86" s="24" t="s">
        <v>67</v>
      </c>
      <c r="D86" s="37"/>
      <c r="E86" s="24">
        <v>1</v>
      </c>
      <c r="F86" s="24">
        <v>1</v>
      </c>
      <c r="G86" s="24">
        <v>1</v>
      </c>
      <c r="H86" s="24">
        <v>1</v>
      </c>
      <c r="I86" s="24">
        <v>1</v>
      </c>
      <c r="J86" s="24">
        <v>1</v>
      </c>
      <c r="K86" s="24">
        <v>1</v>
      </c>
      <c r="L86" s="24">
        <v>1</v>
      </c>
      <c r="M86" s="24">
        <v>1</v>
      </c>
      <c r="N86" s="24">
        <v>1</v>
      </c>
      <c r="O86" s="24">
        <v>1</v>
      </c>
      <c r="P86" s="24">
        <v>1</v>
      </c>
      <c r="Q86" s="24">
        <v>1</v>
      </c>
      <c r="R86" s="24">
        <v>1</v>
      </c>
      <c r="S86" s="24">
        <v>1</v>
      </c>
      <c r="T86" s="24">
        <v>1</v>
      </c>
      <c r="U86" s="24">
        <v>1</v>
      </c>
      <c r="V86" s="24">
        <v>1</v>
      </c>
      <c r="W86" s="24">
        <v>1</v>
      </c>
      <c r="X86" s="24">
        <v>1</v>
      </c>
      <c r="Y86" s="24">
        <v>1</v>
      </c>
      <c r="Z86" s="24">
        <v>1</v>
      </c>
      <c r="AA86" s="24">
        <v>1</v>
      </c>
      <c r="AB86" s="24">
        <v>1</v>
      </c>
      <c r="AC86" s="24">
        <v>1</v>
      </c>
      <c r="AD86" s="24">
        <v>1</v>
      </c>
      <c r="AE86" s="24">
        <v>1</v>
      </c>
      <c r="AF86" s="22">
        <v>0</v>
      </c>
      <c r="AG86" s="37">
        <v>0</v>
      </c>
    </row>
    <row r="87" spans="1:33" ht="18" x14ac:dyDescent="0.2">
      <c r="A87" s="95"/>
      <c r="B87" s="25" t="s">
        <v>22</v>
      </c>
      <c r="C87" s="24" t="s">
        <v>67</v>
      </c>
      <c r="D87" s="37"/>
      <c r="E87" s="24">
        <v>2</v>
      </c>
      <c r="F87" s="24">
        <v>2</v>
      </c>
      <c r="G87" s="24">
        <v>2</v>
      </c>
      <c r="H87" s="24">
        <v>2</v>
      </c>
      <c r="I87" s="24">
        <v>2</v>
      </c>
      <c r="J87" s="24">
        <v>2</v>
      </c>
      <c r="K87" s="24">
        <v>2</v>
      </c>
      <c r="L87" s="24">
        <v>2</v>
      </c>
      <c r="M87" s="24">
        <v>2</v>
      </c>
      <c r="N87" s="24">
        <v>2</v>
      </c>
      <c r="O87" s="24">
        <v>2</v>
      </c>
      <c r="P87" s="24">
        <v>2</v>
      </c>
      <c r="Q87" s="24">
        <v>2</v>
      </c>
      <c r="R87" s="24">
        <v>2</v>
      </c>
      <c r="S87" s="24">
        <v>2</v>
      </c>
      <c r="T87" s="24">
        <v>2</v>
      </c>
      <c r="U87" s="24">
        <v>2</v>
      </c>
      <c r="V87" s="24">
        <v>2</v>
      </c>
      <c r="W87" s="24">
        <v>2</v>
      </c>
      <c r="X87" s="24">
        <v>2</v>
      </c>
      <c r="Y87" s="24">
        <v>2</v>
      </c>
      <c r="Z87" s="24">
        <v>2</v>
      </c>
      <c r="AA87" s="24">
        <v>2</v>
      </c>
      <c r="AB87" s="24">
        <v>2</v>
      </c>
      <c r="AC87" s="24">
        <v>2</v>
      </c>
      <c r="AD87" s="24">
        <v>2</v>
      </c>
      <c r="AE87" s="24">
        <v>2</v>
      </c>
      <c r="AF87" s="22">
        <v>0</v>
      </c>
      <c r="AG87" s="37">
        <v>0</v>
      </c>
    </row>
    <row r="88" spans="1:33" ht="18" x14ac:dyDescent="0.2">
      <c r="A88" s="95"/>
      <c r="B88" s="25" t="s">
        <v>59</v>
      </c>
      <c r="C88" s="24" t="s">
        <v>66</v>
      </c>
      <c r="D88" s="37"/>
      <c r="E88" s="24">
        <v>1</v>
      </c>
      <c r="F88" s="24">
        <v>1</v>
      </c>
      <c r="G88" s="24">
        <v>1</v>
      </c>
      <c r="H88" s="24">
        <v>1</v>
      </c>
      <c r="I88" s="24">
        <v>1</v>
      </c>
      <c r="J88" s="24">
        <v>1</v>
      </c>
      <c r="K88" s="24">
        <v>1</v>
      </c>
      <c r="L88" s="24">
        <v>1</v>
      </c>
      <c r="M88" s="24">
        <v>1</v>
      </c>
      <c r="N88" s="24">
        <v>1</v>
      </c>
      <c r="O88" s="24">
        <v>1</v>
      </c>
      <c r="P88" s="24">
        <v>1</v>
      </c>
      <c r="Q88" s="24">
        <v>1</v>
      </c>
      <c r="R88" s="24">
        <v>1</v>
      </c>
      <c r="S88" s="24">
        <v>1</v>
      </c>
      <c r="T88" s="24">
        <v>1</v>
      </c>
      <c r="U88" s="24">
        <v>1</v>
      </c>
      <c r="V88" s="24">
        <v>1</v>
      </c>
      <c r="W88" s="24">
        <v>1</v>
      </c>
      <c r="X88" s="24">
        <v>1</v>
      </c>
      <c r="Y88" s="24">
        <v>1</v>
      </c>
      <c r="Z88" s="24">
        <v>1</v>
      </c>
      <c r="AA88" s="24">
        <v>1</v>
      </c>
      <c r="AB88" s="24">
        <v>1</v>
      </c>
      <c r="AC88" s="24">
        <v>1</v>
      </c>
      <c r="AD88" s="24">
        <v>1</v>
      </c>
      <c r="AE88" s="24">
        <v>1</v>
      </c>
      <c r="AF88" s="22">
        <v>0</v>
      </c>
      <c r="AG88" s="37">
        <v>0</v>
      </c>
    </row>
    <row r="89" spans="1:33" ht="18" x14ac:dyDescent="0.2">
      <c r="A89" s="95"/>
      <c r="B89" s="25" t="s">
        <v>60</v>
      </c>
      <c r="C89" s="24" t="s">
        <v>67</v>
      </c>
      <c r="D89" s="37"/>
      <c r="E89" s="24">
        <v>1</v>
      </c>
      <c r="F89" s="24">
        <v>1</v>
      </c>
      <c r="G89" s="24">
        <v>1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24">
        <v>1</v>
      </c>
      <c r="N89" s="24">
        <v>1</v>
      </c>
      <c r="O89" s="24">
        <v>1</v>
      </c>
      <c r="P89" s="24">
        <v>1</v>
      </c>
      <c r="Q89" s="24">
        <v>1</v>
      </c>
      <c r="R89" s="24">
        <v>1</v>
      </c>
      <c r="S89" s="24">
        <v>1</v>
      </c>
      <c r="T89" s="24">
        <v>1</v>
      </c>
      <c r="U89" s="24">
        <v>1</v>
      </c>
      <c r="V89" s="24">
        <v>1</v>
      </c>
      <c r="W89" s="24">
        <v>1</v>
      </c>
      <c r="X89" s="24">
        <v>1</v>
      </c>
      <c r="Y89" s="24">
        <v>1</v>
      </c>
      <c r="Z89" s="24">
        <v>1</v>
      </c>
      <c r="AA89" s="24">
        <v>1</v>
      </c>
      <c r="AB89" s="24">
        <v>1</v>
      </c>
      <c r="AC89" s="24">
        <v>1</v>
      </c>
      <c r="AD89" s="24">
        <v>1</v>
      </c>
      <c r="AE89" s="24">
        <v>1</v>
      </c>
      <c r="AF89" s="22">
        <v>0</v>
      </c>
      <c r="AG89" s="37">
        <v>0</v>
      </c>
    </row>
    <row r="90" spans="1:33" ht="18" x14ac:dyDescent="0.2">
      <c r="A90" s="95"/>
      <c r="B90" s="29" t="s">
        <v>62</v>
      </c>
      <c r="C90" s="39" t="s">
        <v>65</v>
      </c>
      <c r="D90" s="39"/>
      <c r="E90" s="39">
        <v>3</v>
      </c>
      <c r="F90" s="39">
        <v>3</v>
      </c>
      <c r="G90" s="39">
        <v>3</v>
      </c>
      <c r="H90" s="39">
        <v>3</v>
      </c>
      <c r="I90" s="39">
        <v>3</v>
      </c>
      <c r="J90" s="39">
        <v>3</v>
      </c>
      <c r="K90" s="39">
        <v>3</v>
      </c>
      <c r="L90" s="39">
        <v>3</v>
      </c>
      <c r="M90" s="39">
        <v>3</v>
      </c>
      <c r="N90" s="39">
        <v>3</v>
      </c>
      <c r="O90" s="39">
        <v>3</v>
      </c>
      <c r="P90" s="39">
        <v>3</v>
      </c>
      <c r="Q90" s="39">
        <v>3</v>
      </c>
      <c r="R90" s="39">
        <v>3</v>
      </c>
      <c r="S90" s="39">
        <v>3</v>
      </c>
      <c r="T90" s="39">
        <v>3</v>
      </c>
      <c r="U90" s="39">
        <v>3</v>
      </c>
      <c r="V90" s="39">
        <v>3</v>
      </c>
      <c r="W90" s="39">
        <v>3</v>
      </c>
      <c r="X90" s="39">
        <v>3</v>
      </c>
      <c r="Y90" s="39">
        <v>3</v>
      </c>
      <c r="Z90" s="39">
        <v>3</v>
      </c>
      <c r="AA90" s="39">
        <v>3</v>
      </c>
      <c r="AB90" s="39">
        <v>3</v>
      </c>
      <c r="AC90" s="39">
        <v>3</v>
      </c>
      <c r="AD90" s="39">
        <v>3</v>
      </c>
      <c r="AE90" s="39">
        <v>3</v>
      </c>
      <c r="AF90" s="39">
        <v>3</v>
      </c>
      <c r="AG90" s="22">
        <v>0</v>
      </c>
    </row>
    <row r="91" spans="1:33" ht="18" x14ac:dyDescent="0.2">
      <c r="A91" s="95"/>
      <c r="B91" s="29" t="s">
        <v>63</v>
      </c>
      <c r="C91" s="39" t="s">
        <v>65</v>
      </c>
      <c r="D91" s="39"/>
      <c r="E91" s="39">
        <v>2</v>
      </c>
      <c r="F91" s="39">
        <v>2</v>
      </c>
      <c r="G91" s="39">
        <v>2</v>
      </c>
      <c r="H91" s="39">
        <v>2</v>
      </c>
      <c r="I91" s="39">
        <v>2</v>
      </c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2</v>
      </c>
      <c r="Q91" s="39">
        <v>2</v>
      </c>
      <c r="R91" s="39">
        <v>2</v>
      </c>
      <c r="S91" s="39">
        <v>2</v>
      </c>
      <c r="T91" s="39">
        <v>2</v>
      </c>
      <c r="U91" s="39">
        <v>2</v>
      </c>
      <c r="V91" s="39">
        <v>2</v>
      </c>
      <c r="W91" s="39">
        <v>2</v>
      </c>
      <c r="X91" s="39">
        <v>2</v>
      </c>
      <c r="Y91" s="39">
        <v>2</v>
      </c>
      <c r="Z91" s="39">
        <v>2</v>
      </c>
      <c r="AA91" s="39">
        <v>2</v>
      </c>
      <c r="AB91" s="39">
        <v>2</v>
      </c>
      <c r="AC91" s="39">
        <v>2</v>
      </c>
      <c r="AD91" s="39">
        <v>2</v>
      </c>
      <c r="AE91" s="39">
        <v>2</v>
      </c>
      <c r="AF91" s="39">
        <v>2</v>
      </c>
      <c r="AG91" s="22">
        <v>0</v>
      </c>
    </row>
    <row r="92" spans="1:33" ht="17" x14ac:dyDescent="0.2">
      <c r="A92" s="70" t="s">
        <v>7</v>
      </c>
      <c r="B92" s="71"/>
      <c r="C92" s="72"/>
      <c r="D92" s="37"/>
      <c r="E92" s="37">
        <f>SUM(E18:E91)</f>
        <v>194</v>
      </c>
      <c r="F92" s="37">
        <f t="shared" ref="F92:AG92" si="0">SUM(F18:F91)</f>
        <v>189</v>
      </c>
      <c r="G92" s="37">
        <f t="shared" si="0"/>
        <v>189</v>
      </c>
      <c r="H92" s="37">
        <f t="shared" si="0"/>
        <v>185</v>
      </c>
      <c r="I92" s="37">
        <f t="shared" si="0"/>
        <v>180</v>
      </c>
      <c r="J92" s="37">
        <f t="shared" si="0"/>
        <v>168</v>
      </c>
      <c r="K92" s="37">
        <f t="shared" si="0"/>
        <v>166</v>
      </c>
      <c r="L92" s="37">
        <f t="shared" si="0"/>
        <v>156</v>
      </c>
      <c r="M92" s="37">
        <f t="shared" si="0"/>
        <v>153</v>
      </c>
      <c r="N92" s="37">
        <f t="shared" si="0"/>
        <v>147</v>
      </c>
      <c r="O92" s="37">
        <f t="shared" si="0"/>
        <v>139</v>
      </c>
      <c r="P92" s="37">
        <f t="shared" si="0"/>
        <v>127</v>
      </c>
      <c r="Q92" s="37">
        <f t="shared" si="0"/>
        <v>115</v>
      </c>
      <c r="R92" s="37">
        <f t="shared" si="0"/>
        <v>111</v>
      </c>
      <c r="S92" s="37">
        <f t="shared" si="0"/>
        <v>101</v>
      </c>
      <c r="T92" s="37">
        <f t="shared" si="0"/>
        <v>91</v>
      </c>
      <c r="U92" s="37">
        <f t="shared" si="0"/>
        <v>87</v>
      </c>
      <c r="V92" s="37">
        <f t="shared" si="0"/>
        <v>85</v>
      </c>
      <c r="W92" s="37">
        <f t="shared" si="0"/>
        <v>79</v>
      </c>
      <c r="X92" s="37">
        <f t="shared" si="0"/>
        <v>75</v>
      </c>
      <c r="Y92" s="37">
        <f t="shared" si="0"/>
        <v>71</v>
      </c>
      <c r="Z92" s="37">
        <f t="shared" si="0"/>
        <v>63</v>
      </c>
      <c r="AA92" s="37">
        <f t="shared" si="0"/>
        <v>53</v>
      </c>
      <c r="AB92" s="37">
        <f t="shared" si="0"/>
        <v>51</v>
      </c>
      <c r="AC92" s="37">
        <f t="shared" si="0"/>
        <v>39</v>
      </c>
      <c r="AD92" s="37">
        <f t="shared" si="0"/>
        <v>37</v>
      </c>
      <c r="AE92" s="37">
        <f t="shared" si="0"/>
        <v>17</v>
      </c>
      <c r="AF92" s="37">
        <f t="shared" si="0"/>
        <v>5</v>
      </c>
      <c r="AG92" s="37">
        <f t="shared" si="0"/>
        <v>0</v>
      </c>
    </row>
    <row r="93" spans="1:33" ht="17" x14ac:dyDescent="0.2">
      <c r="Z93" s="17"/>
      <c r="AA93" s="17"/>
    </row>
    <row r="113" spans="1:33" ht="71" x14ac:dyDescent="0.2">
      <c r="A113" s="9" t="s">
        <v>10</v>
      </c>
      <c r="B113" s="10" t="s">
        <v>11</v>
      </c>
      <c r="C113" s="10" t="s">
        <v>32</v>
      </c>
      <c r="D113" s="10" t="s">
        <v>8</v>
      </c>
      <c r="E113" s="10" t="s">
        <v>7</v>
      </c>
      <c r="F113" s="27">
        <v>45941</v>
      </c>
      <c r="G113" s="27">
        <v>45942</v>
      </c>
      <c r="H113" s="27">
        <v>45943</v>
      </c>
      <c r="I113" s="27">
        <v>45944</v>
      </c>
      <c r="J113" s="27">
        <v>45945</v>
      </c>
      <c r="K113" s="27">
        <v>45946</v>
      </c>
      <c r="L113" s="27">
        <v>45947</v>
      </c>
      <c r="M113" s="27">
        <v>45948</v>
      </c>
      <c r="N113" s="27">
        <v>45949</v>
      </c>
      <c r="O113" s="27">
        <v>45950</v>
      </c>
      <c r="P113" s="27">
        <v>45951</v>
      </c>
      <c r="Q113" s="27">
        <v>45952</v>
      </c>
      <c r="R113" s="27">
        <v>45953</v>
      </c>
      <c r="S113" s="27">
        <v>45954</v>
      </c>
      <c r="T113" s="27">
        <v>45955</v>
      </c>
      <c r="U113" s="27">
        <v>45956</v>
      </c>
      <c r="V113" s="27">
        <v>45957</v>
      </c>
      <c r="W113" s="27">
        <v>45958</v>
      </c>
      <c r="X113" s="27">
        <v>45959</v>
      </c>
      <c r="Y113" s="27">
        <v>45960</v>
      </c>
      <c r="Z113" s="27">
        <v>45961</v>
      </c>
      <c r="AA113" s="27">
        <v>45962</v>
      </c>
      <c r="AB113" s="27">
        <v>45963</v>
      </c>
      <c r="AC113" s="27">
        <v>45964</v>
      </c>
      <c r="AD113" s="27">
        <v>45965</v>
      </c>
      <c r="AE113" s="27">
        <v>45966</v>
      </c>
      <c r="AF113" s="27">
        <v>45967</v>
      </c>
      <c r="AG113" s="27">
        <v>45968</v>
      </c>
    </row>
    <row r="114" spans="1:33" ht="18" x14ac:dyDescent="0.2">
      <c r="A114" s="73" t="s">
        <v>64</v>
      </c>
      <c r="B114" s="74"/>
      <c r="C114" s="24" t="s">
        <v>65</v>
      </c>
      <c r="D114" s="37">
        <v>4</v>
      </c>
      <c r="E114" s="38"/>
      <c r="F114" s="22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</row>
    <row r="115" spans="1:33" ht="18" x14ac:dyDescent="0.2">
      <c r="A115" s="73" t="s">
        <v>33</v>
      </c>
      <c r="B115" s="74"/>
      <c r="C115" s="24" t="s">
        <v>66</v>
      </c>
      <c r="D115" s="37">
        <v>4</v>
      </c>
      <c r="E115" s="38"/>
      <c r="F115" s="38">
        <v>4</v>
      </c>
      <c r="G115" s="38">
        <v>4</v>
      </c>
      <c r="H115" s="22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</row>
    <row r="116" spans="1:33" ht="18" x14ac:dyDescent="0.2">
      <c r="A116" s="73" t="s">
        <v>34</v>
      </c>
      <c r="B116" s="74"/>
      <c r="C116" s="24" t="s">
        <v>67</v>
      </c>
      <c r="D116" s="37">
        <v>3</v>
      </c>
      <c r="E116" s="38"/>
      <c r="F116" s="38">
        <v>5</v>
      </c>
      <c r="G116" s="38">
        <v>5</v>
      </c>
      <c r="H116" s="42">
        <v>2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</row>
    <row r="117" spans="1:33" ht="18" x14ac:dyDescent="0.2">
      <c r="A117" s="73" t="s">
        <v>46</v>
      </c>
      <c r="B117" s="74"/>
      <c r="C117" s="24" t="s">
        <v>65</v>
      </c>
      <c r="D117" s="37">
        <v>12</v>
      </c>
      <c r="E117" s="23"/>
      <c r="F117" s="23">
        <v>12</v>
      </c>
      <c r="G117" s="23">
        <v>12</v>
      </c>
      <c r="H117" s="23">
        <v>12</v>
      </c>
      <c r="I117" s="23">
        <v>12</v>
      </c>
      <c r="J117" s="22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</row>
    <row r="118" spans="1:33" ht="18" x14ac:dyDescent="0.2">
      <c r="A118" s="75" t="s">
        <v>35</v>
      </c>
      <c r="B118" s="25" t="s">
        <v>36</v>
      </c>
      <c r="C118" s="24" t="s">
        <v>68</v>
      </c>
      <c r="D118" s="37">
        <v>2</v>
      </c>
      <c r="E118" s="24"/>
      <c r="F118" s="24">
        <v>2</v>
      </c>
      <c r="G118" s="24">
        <v>2</v>
      </c>
      <c r="H118" s="24">
        <v>2</v>
      </c>
      <c r="I118" s="24">
        <v>2</v>
      </c>
      <c r="J118" s="24">
        <v>2</v>
      </c>
      <c r="K118" s="22">
        <v>0</v>
      </c>
      <c r="L118" s="62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</row>
    <row r="119" spans="1:33" ht="18" x14ac:dyDescent="0.2">
      <c r="A119" s="76"/>
      <c r="B119" s="25" t="s">
        <v>37</v>
      </c>
      <c r="C119" s="24" t="s">
        <v>69</v>
      </c>
      <c r="D119" s="39">
        <v>3</v>
      </c>
      <c r="E119" s="24"/>
      <c r="F119" s="24">
        <v>4</v>
      </c>
      <c r="G119" s="24">
        <v>4</v>
      </c>
      <c r="H119" s="24">
        <v>4</v>
      </c>
      <c r="I119" s="24">
        <v>4</v>
      </c>
      <c r="J119" s="24">
        <v>4</v>
      </c>
      <c r="K119" s="24">
        <v>4</v>
      </c>
      <c r="L119" s="22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</row>
    <row r="120" spans="1:33" ht="18" x14ac:dyDescent="0.2">
      <c r="A120" s="76"/>
      <c r="B120" s="25" t="s">
        <v>13</v>
      </c>
      <c r="C120" s="24" t="s">
        <v>66</v>
      </c>
      <c r="D120" s="39">
        <v>2</v>
      </c>
      <c r="E120" s="24"/>
      <c r="F120" s="24">
        <v>3</v>
      </c>
      <c r="G120" s="24">
        <v>3</v>
      </c>
      <c r="H120" s="24">
        <v>3</v>
      </c>
      <c r="I120" s="24">
        <v>3</v>
      </c>
      <c r="J120" s="24">
        <v>3</v>
      </c>
      <c r="K120" s="24">
        <v>3</v>
      </c>
      <c r="L120" s="42">
        <v>1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</row>
    <row r="121" spans="1:33" ht="18" x14ac:dyDescent="0.2">
      <c r="A121" s="76"/>
      <c r="B121" s="25" t="s">
        <v>14</v>
      </c>
      <c r="C121" s="24" t="s">
        <v>67</v>
      </c>
      <c r="D121" s="39">
        <v>3</v>
      </c>
      <c r="E121" s="24"/>
      <c r="F121" s="24">
        <v>3</v>
      </c>
      <c r="G121" s="24">
        <v>3</v>
      </c>
      <c r="H121" s="24">
        <v>3</v>
      </c>
      <c r="I121" s="24">
        <v>3</v>
      </c>
      <c r="J121" s="24">
        <v>3</v>
      </c>
      <c r="K121" s="24">
        <v>3</v>
      </c>
      <c r="L121" s="22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</row>
    <row r="122" spans="1:33" ht="18" x14ac:dyDescent="0.2">
      <c r="A122" s="76"/>
      <c r="B122" s="25" t="s">
        <v>15</v>
      </c>
      <c r="C122" s="24" t="s">
        <v>67</v>
      </c>
      <c r="D122" s="24">
        <v>3</v>
      </c>
      <c r="E122" s="24"/>
      <c r="F122" s="24">
        <v>3</v>
      </c>
      <c r="G122" s="24">
        <v>3</v>
      </c>
      <c r="H122" s="24">
        <v>3</v>
      </c>
      <c r="I122" s="24">
        <v>3</v>
      </c>
      <c r="J122" s="24">
        <v>3</v>
      </c>
      <c r="K122" s="24">
        <v>3</v>
      </c>
      <c r="L122" s="24">
        <v>3</v>
      </c>
      <c r="M122" s="22">
        <v>0</v>
      </c>
      <c r="N122" s="62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</row>
    <row r="123" spans="1:33" ht="18" x14ac:dyDescent="0.2">
      <c r="A123" s="76"/>
      <c r="B123" s="25" t="s">
        <v>38</v>
      </c>
      <c r="C123" s="24" t="s">
        <v>66</v>
      </c>
      <c r="D123" s="39">
        <v>2</v>
      </c>
      <c r="E123" s="39"/>
      <c r="F123" s="39">
        <v>2</v>
      </c>
      <c r="G123" s="39">
        <v>2</v>
      </c>
      <c r="H123" s="39">
        <v>2</v>
      </c>
      <c r="I123" s="39">
        <v>2</v>
      </c>
      <c r="J123" s="39">
        <v>2</v>
      </c>
      <c r="K123" s="39">
        <v>2</v>
      </c>
      <c r="L123" s="39">
        <v>2</v>
      </c>
      <c r="M123" s="39">
        <v>2</v>
      </c>
      <c r="N123" s="22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7">
        <v>0</v>
      </c>
    </row>
    <row r="124" spans="1:33" ht="18" x14ac:dyDescent="0.2">
      <c r="A124" s="76"/>
      <c r="B124" s="25" t="s">
        <v>44</v>
      </c>
      <c r="C124" s="24" t="s">
        <v>67</v>
      </c>
      <c r="D124" s="24">
        <v>2</v>
      </c>
      <c r="E124" s="24"/>
      <c r="F124" s="24">
        <v>2</v>
      </c>
      <c r="G124" s="24">
        <v>2</v>
      </c>
      <c r="H124" s="24">
        <v>2</v>
      </c>
      <c r="I124" s="24">
        <v>2</v>
      </c>
      <c r="J124" s="24">
        <v>2</v>
      </c>
      <c r="K124" s="24">
        <v>2</v>
      </c>
      <c r="L124" s="24">
        <v>2</v>
      </c>
      <c r="M124" s="24">
        <v>2</v>
      </c>
      <c r="N124" s="22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7">
        <v>0</v>
      </c>
      <c r="AG124" s="37">
        <v>0</v>
      </c>
    </row>
    <row r="125" spans="1:33" ht="18" x14ac:dyDescent="0.2">
      <c r="A125" s="76"/>
      <c r="B125" s="25" t="s">
        <v>16</v>
      </c>
      <c r="C125" s="24" t="s">
        <v>66</v>
      </c>
      <c r="D125" s="24">
        <v>2</v>
      </c>
      <c r="E125" s="24"/>
      <c r="F125" s="24">
        <v>2</v>
      </c>
      <c r="G125" s="24">
        <v>2</v>
      </c>
      <c r="H125" s="24">
        <v>2</v>
      </c>
      <c r="I125" s="24">
        <v>2</v>
      </c>
      <c r="J125" s="24">
        <v>2</v>
      </c>
      <c r="K125" s="24">
        <v>2</v>
      </c>
      <c r="L125" s="24">
        <v>2</v>
      </c>
      <c r="M125" s="24">
        <v>2</v>
      </c>
      <c r="N125" s="22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7">
        <v>0</v>
      </c>
    </row>
    <row r="126" spans="1:33" ht="18" x14ac:dyDescent="0.2">
      <c r="A126" s="76"/>
      <c r="B126" s="25" t="s">
        <v>22</v>
      </c>
      <c r="C126" s="24" t="s">
        <v>66</v>
      </c>
      <c r="D126" s="24">
        <v>2</v>
      </c>
      <c r="F126" s="24">
        <v>2</v>
      </c>
      <c r="G126" s="24">
        <v>2</v>
      </c>
      <c r="H126" s="24">
        <v>2</v>
      </c>
      <c r="I126" s="24">
        <v>2</v>
      </c>
      <c r="J126" s="24">
        <v>2</v>
      </c>
      <c r="K126" s="24">
        <v>2</v>
      </c>
      <c r="L126" s="24">
        <v>2</v>
      </c>
      <c r="M126" s="24">
        <v>2</v>
      </c>
      <c r="N126" s="24">
        <v>2</v>
      </c>
      <c r="O126" s="22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7">
        <v>0</v>
      </c>
    </row>
    <row r="127" spans="1:33" ht="18" x14ac:dyDescent="0.2">
      <c r="A127" s="76"/>
      <c r="B127" s="25" t="s">
        <v>59</v>
      </c>
      <c r="C127" s="24" t="s">
        <v>67</v>
      </c>
      <c r="D127" s="24">
        <v>2</v>
      </c>
      <c r="E127" s="47"/>
      <c r="F127" s="24">
        <v>2</v>
      </c>
      <c r="G127" s="24">
        <v>2</v>
      </c>
      <c r="H127" s="24">
        <v>2</v>
      </c>
      <c r="I127" s="24">
        <v>2</v>
      </c>
      <c r="J127" s="24">
        <v>2</v>
      </c>
      <c r="K127" s="24">
        <v>2</v>
      </c>
      <c r="L127" s="24">
        <v>2</v>
      </c>
      <c r="M127" s="24">
        <v>2</v>
      </c>
      <c r="N127" s="24">
        <v>2</v>
      </c>
      <c r="O127" s="22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7">
        <v>0</v>
      </c>
    </row>
    <row r="128" spans="1:33" ht="18" x14ac:dyDescent="0.2">
      <c r="A128" s="76"/>
      <c r="B128" s="25" t="s">
        <v>60</v>
      </c>
      <c r="C128" s="24" t="s">
        <v>66</v>
      </c>
      <c r="D128" s="24">
        <v>2</v>
      </c>
      <c r="E128" s="47"/>
      <c r="F128" s="24">
        <v>2</v>
      </c>
      <c r="G128" s="24">
        <v>2</v>
      </c>
      <c r="H128" s="24">
        <v>2</v>
      </c>
      <c r="I128" s="24">
        <v>2</v>
      </c>
      <c r="J128" s="24">
        <v>2</v>
      </c>
      <c r="K128" s="24">
        <v>2</v>
      </c>
      <c r="L128" s="24">
        <v>2</v>
      </c>
      <c r="M128" s="24">
        <v>2</v>
      </c>
      <c r="N128" s="24">
        <v>2</v>
      </c>
      <c r="O128" s="22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7">
        <v>0</v>
      </c>
    </row>
    <row r="129" spans="1:33" ht="18" x14ac:dyDescent="0.2">
      <c r="A129" s="77"/>
      <c r="B129" s="25" t="s">
        <v>39</v>
      </c>
      <c r="C129" s="37" t="s">
        <v>65</v>
      </c>
      <c r="D129" s="39">
        <v>2</v>
      </c>
      <c r="E129" s="47"/>
      <c r="F129" s="39">
        <v>2</v>
      </c>
      <c r="G129" s="39">
        <v>2</v>
      </c>
      <c r="H129" s="39">
        <v>2</v>
      </c>
      <c r="I129" s="39">
        <v>2</v>
      </c>
      <c r="J129" s="39">
        <v>2</v>
      </c>
      <c r="K129" s="39">
        <v>2</v>
      </c>
      <c r="L129" s="39">
        <v>2</v>
      </c>
      <c r="M129" s="39">
        <v>2</v>
      </c>
      <c r="N129" s="39">
        <v>2</v>
      </c>
      <c r="O129" s="22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7">
        <v>0</v>
      </c>
      <c r="AG129" s="37">
        <v>0</v>
      </c>
    </row>
    <row r="130" spans="1:33" ht="18" x14ac:dyDescent="0.2">
      <c r="A130" s="67" t="s">
        <v>45</v>
      </c>
      <c r="B130" s="25" t="s">
        <v>37</v>
      </c>
      <c r="C130" s="24" t="s">
        <v>70</v>
      </c>
      <c r="D130" s="24">
        <v>3</v>
      </c>
      <c r="E130" s="47"/>
      <c r="F130" s="24">
        <v>3</v>
      </c>
      <c r="G130" s="24">
        <v>3</v>
      </c>
      <c r="H130" s="24">
        <v>3</v>
      </c>
      <c r="I130" s="24">
        <v>3</v>
      </c>
      <c r="J130" s="24">
        <v>3</v>
      </c>
      <c r="K130" s="24">
        <v>3</v>
      </c>
      <c r="L130" s="24">
        <v>3</v>
      </c>
      <c r="M130" s="24">
        <v>3</v>
      </c>
      <c r="N130" s="24">
        <v>3</v>
      </c>
      <c r="O130" s="24">
        <v>3</v>
      </c>
      <c r="P130" s="22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</row>
    <row r="131" spans="1:33" ht="18" x14ac:dyDescent="0.2">
      <c r="A131" s="68"/>
      <c r="B131" s="25" t="s">
        <v>13</v>
      </c>
      <c r="C131" s="24" t="s">
        <v>71</v>
      </c>
      <c r="D131" s="24">
        <v>3</v>
      </c>
      <c r="F131" s="24">
        <v>3</v>
      </c>
      <c r="G131" s="24">
        <v>3</v>
      </c>
      <c r="H131" s="24">
        <v>3</v>
      </c>
      <c r="I131" s="24">
        <v>3</v>
      </c>
      <c r="J131" s="24">
        <v>3</v>
      </c>
      <c r="K131" s="24">
        <v>3</v>
      </c>
      <c r="L131" s="24">
        <v>3</v>
      </c>
      <c r="M131" s="24">
        <v>3</v>
      </c>
      <c r="N131" s="24">
        <v>3</v>
      </c>
      <c r="O131" s="24">
        <v>3</v>
      </c>
      <c r="P131" s="22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7">
        <v>0</v>
      </c>
      <c r="AG131" s="37">
        <v>0</v>
      </c>
    </row>
    <row r="132" spans="1:33" ht="18" x14ac:dyDescent="0.2">
      <c r="A132" s="68"/>
      <c r="B132" s="25" t="s">
        <v>14</v>
      </c>
      <c r="C132" s="24" t="s">
        <v>72</v>
      </c>
      <c r="D132" s="24">
        <v>3</v>
      </c>
      <c r="E132" s="47"/>
      <c r="F132" s="24">
        <v>3</v>
      </c>
      <c r="G132" s="24">
        <v>3</v>
      </c>
      <c r="H132" s="24">
        <v>3</v>
      </c>
      <c r="I132" s="24">
        <v>3</v>
      </c>
      <c r="J132" s="24">
        <v>3</v>
      </c>
      <c r="K132" s="24">
        <v>3</v>
      </c>
      <c r="L132" s="24">
        <v>3</v>
      </c>
      <c r="M132" s="24">
        <v>3</v>
      </c>
      <c r="N132" s="24">
        <v>3</v>
      </c>
      <c r="O132" s="24">
        <v>3</v>
      </c>
      <c r="P132" s="22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7">
        <v>0</v>
      </c>
      <c r="AG132" s="37">
        <v>0</v>
      </c>
    </row>
    <row r="133" spans="1:33" ht="18" x14ac:dyDescent="0.2">
      <c r="A133" s="68"/>
      <c r="B133" s="25" t="s">
        <v>15</v>
      </c>
      <c r="C133" s="24" t="s">
        <v>72</v>
      </c>
      <c r="D133" s="24">
        <v>3</v>
      </c>
      <c r="F133" s="24">
        <v>3</v>
      </c>
      <c r="G133" s="24">
        <v>3</v>
      </c>
      <c r="H133" s="24">
        <v>3</v>
      </c>
      <c r="I133" s="24">
        <v>3</v>
      </c>
      <c r="J133" s="24">
        <v>3</v>
      </c>
      <c r="K133" s="24">
        <v>3</v>
      </c>
      <c r="L133" s="24">
        <v>3</v>
      </c>
      <c r="M133" s="24">
        <v>3</v>
      </c>
      <c r="N133" s="24">
        <v>3</v>
      </c>
      <c r="O133" s="24">
        <v>3</v>
      </c>
      <c r="P133" s="22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7">
        <v>0</v>
      </c>
      <c r="AG133" s="37">
        <v>0</v>
      </c>
    </row>
    <row r="134" spans="1:33" ht="18" x14ac:dyDescent="0.2">
      <c r="A134" s="68"/>
      <c r="B134" s="25" t="s">
        <v>38</v>
      </c>
      <c r="C134" s="24" t="s">
        <v>73</v>
      </c>
      <c r="D134" s="24">
        <v>2</v>
      </c>
      <c r="E134" s="47"/>
      <c r="F134" s="24">
        <v>2</v>
      </c>
      <c r="G134" s="24">
        <v>2</v>
      </c>
      <c r="H134" s="24">
        <v>2</v>
      </c>
      <c r="I134" s="24">
        <v>2</v>
      </c>
      <c r="J134" s="24">
        <v>2</v>
      </c>
      <c r="K134" s="24">
        <v>2</v>
      </c>
      <c r="L134" s="24">
        <v>2</v>
      </c>
      <c r="M134" s="24">
        <v>2</v>
      </c>
      <c r="N134" s="24">
        <v>2</v>
      </c>
      <c r="O134" s="24">
        <v>2</v>
      </c>
      <c r="P134" s="24">
        <v>2</v>
      </c>
      <c r="Q134" s="22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0</v>
      </c>
      <c r="AG134" s="37">
        <v>0</v>
      </c>
    </row>
    <row r="135" spans="1:33" ht="18" x14ac:dyDescent="0.2">
      <c r="A135" s="68"/>
      <c r="B135" s="25" t="s">
        <v>44</v>
      </c>
      <c r="C135" s="24" t="s">
        <v>70</v>
      </c>
      <c r="D135" s="39">
        <v>2</v>
      </c>
      <c r="E135" s="47"/>
      <c r="F135" s="39">
        <v>2</v>
      </c>
      <c r="G135" s="39">
        <v>2</v>
      </c>
      <c r="H135" s="39">
        <v>2</v>
      </c>
      <c r="I135" s="39">
        <v>2</v>
      </c>
      <c r="J135" s="39">
        <v>2</v>
      </c>
      <c r="K135" s="39">
        <v>2</v>
      </c>
      <c r="L135" s="39">
        <v>2</v>
      </c>
      <c r="M135" s="39">
        <v>2</v>
      </c>
      <c r="N135" s="39">
        <v>2</v>
      </c>
      <c r="O135" s="39">
        <v>2</v>
      </c>
      <c r="P135" s="39">
        <v>2</v>
      </c>
      <c r="Q135" s="22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v>0</v>
      </c>
      <c r="AG135" s="37">
        <v>0</v>
      </c>
    </row>
    <row r="136" spans="1:33" ht="18" x14ac:dyDescent="0.2">
      <c r="A136" s="68"/>
      <c r="B136" s="25" t="s">
        <v>16</v>
      </c>
      <c r="C136" s="24" t="s">
        <v>73</v>
      </c>
      <c r="D136" s="24">
        <v>2</v>
      </c>
      <c r="E136" s="47"/>
      <c r="F136" s="24">
        <v>2</v>
      </c>
      <c r="G136" s="24">
        <v>2</v>
      </c>
      <c r="H136" s="24">
        <v>2</v>
      </c>
      <c r="I136" s="24">
        <v>2</v>
      </c>
      <c r="J136" s="24">
        <v>2</v>
      </c>
      <c r="K136" s="24">
        <v>2</v>
      </c>
      <c r="L136" s="24">
        <v>2</v>
      </c>
      <c r="M136" s="24">
        <v>2</v>
      </c>
      <c r="N136" s="24">
        <v>2</v>
      </c>
      <c r="O136" s="24">
        <v>2</v>
      </c>
      <c r="P136" s="24">
        <v>2</v>
      </c>
      <c r="Q136" s="22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7">
        <v>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v>0</v>
      </c>
      <c r="AG136" s="37">
        <v>0</v>
      </c>
    </row>
    <row r="137" spans="1:33" ht="18" x14ac:dyDescent="0.2">
      <c r="A137" s="68"/>
      <c r="B137" s="25" t="s">
        <v>22</v>
      </c>
      <c r="C137" s="24" t="s">
        <v>71</v>
      </c>
      <c r="D137" s="24">
        <v>2</v>
      </c>
      <c r="E137" s="47"/>
      <c r="F137" s="24">
        <v>2</v>
      </c>
      <c r="G137" s="24">
        <v>2</v>
      </c>
      <c r="H137" s="24">
        <v>2</v>
      </c>
      <c r="I137" s="24">
        <v>2</v>
      </c>
      <c r="J137" s="24">
        <v>2</v>
      </c>
      <c r="K137" s="24">
        <v>2</v>
      </c>
      <c r="L137" s="24">
        <v>2</v>
      </c>
      <c r="M137" s="24">
        <v>2</v>
      </c>
      <c r="N137" s="24">
        <v>2</v>
      </c>
      <c r="O137" s="24">
        <v>2</v>
      </c>
      <c r="P137" s="24">
        <v>2</v>
      </c>
      <c r="Q137" s="22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0</v>
      </c>
      <c r="AC137" s="37">
        <v>0</v>
      </c>
      <c r="AD137" s="37">
        <v>0</v>
      </c>
      <c r="AE137" s="37">
        <v>0</v>
      </c>
      <c r="AF137" s="37">
        <v>0</v>
      </c>
      <c r="AG137" s="37">
        <v>0</v>
      </c>
    </row>
    <row r="138" spans="1:33" ht="18" x14ac:dyDescent="0.2">
      <c r="A138" s="68"/>
      <c r="B138" s="25" t="s">
        <v>59</v>
      </c>
      <c r="C138" s="24" t="s">
        <v>72</v>
      </c>
      <c r="D138" s="24">
        <v>2</v>
      </c>
      <c r="E138" s="47"/>
      <c r="F138" s="24">
        <v>2</v>
      </c>
      <c r="G138" s="24">
        <v>2</v>
      </c>
      <c r="H138" s="24">
        <v>2</v>
      </c>
      <c r="I138" s="24">
        <v>2</v>
      </c>
      <c r="J138" s="24">
        <v>2</v>
      </c>
      <c r="K138" s="24">
        <v>2</v>
      </c>
      <c r="L138" s="24">
        <v>2</v>
      </c>
      <c r="M138" s="24">
        <v>2</v>
      </c>
      <c r="N138" s="24">
        <v>2</v>
      </c>
      <c r="O138" s="24">
        <v>2</v>
      </c>
      <c r="P138" s="24">
        <v>2</v>
      </c>
      <c r="Q138" s="22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0</v>
      </c>
      <c r="AC138" s="37">
        <v>0</v>
      </c>
      <c r="AD138" s="37">
        <v>0</v>
      </c>
      <c r="AE138" s="37">
        <v>0</v>
      </c>
      <c r="AF138" s="37">
        <v>0</v>
      </c>
      <c r="AG138" s="37">
        <v>0</v>
      </c>
    </row>
    <row r="139" spans="1:33" ht="18" x14ac:dyDescent="0.2">
      <c r="A139" s="68"/>
      <c r="B139" s="25" t="s">
        <v>60</v>
      </c>
      <c r="C139" s="24" t="s">
        <v>71</v>
      </c>
      <c r="D139" s="24">
        <v>2</v>
      </c>
      <c r="E139" s="47"/>
      <c r="F139" s="24">
        <v>2</v>
      </c>
      <c r="G139" s="24">
        <v>2</v>
      </c>
      <c r="H139" s="24">
        <v>2</v>
      </c>
      <c r="I139" s="24">
        <v>2</v>
      </c>
      <c r="J139" s="24">
        <v>2</v>
      </c>
      <c r="K139" s="24">
        <v>2</v>
      </c>
      <c r="L139" s="24">
        <v>2</v>
      </c>
      <c r="M139" s="24">
        <v>2</v>
      </c>
      <c r="N139" s="24">
        <v>2</v>
      </c>
      <c r="O139" s="24">
        <v>2</v>
      </c>
      <c r="P139" s="24">
        <v>2</v>
      </c>
      <c r="Q139" s="22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0</v>
      </c>
      <c r="AC139" s="37">
        <v>0</v>
      </c>
      <c r="AD139" s="37">
        <v>0</v>
      </c>
      <c r="AE139" s="37">
        <v>0</v>
      </c>
      <c r="AF139" s="37">
        <v>0</v>
      </c>
      <c r="AG139" s="37">
        <v>0</v>
      </c>
    </row>
    <row r="140" spans="1:33" ht="18" x14ac:dyDescent="0.2">
      <c r="A140" s="69"/>
      <c r="B140" s="25" t="s">
        <v>39</v>
      </c>
      <c r="C140" s="24" t="s">
        <v>65</v>
      </c>
      <c r="D140" s="39">
        <v>4</v>
      </c>
      <c r="E140" s="47"/>
      <c r="F140" s="39">
        <v>4</v>
      </c>
      <c r="G140" s="39">
        <v>4</v>
      </c>
      <c r="H140" s="39">
        <v>4</v>
      </c>
      <c r="I140" s="39">
        <v>4</v>
      </c>
      <c r="J140" s="39">
        <v>4</v>
      </c>
      <c r="K140" s="39">
        <v>4</v>
      </c>
      <c r="L140" s="39">
        <v>4</v>
      </c>
      <c r="M140" s="39">
        <v>4</v>
      </c>
      <c r="N140" s="39">
        <v>4</v>
      </c>
      <c r="O140" s="39">
        <v>4</v>
      </c>
      <c r="P140" s="39">
        <v>4</v>
      </c>
      <c r="Q140" s="61">
        <v>4</v>
      </c>
      <c r="R140" s="22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</row>
    <row r="141" spans="1:33" ht="18" x14ac:dyDescent="0.2">
      <c r="A141" s="67" t="s">
        <v>40</v>
      </c>
      <c r="B141" s="25" t="s">
        <v>36</v>
      </c>
      <c r="C141" s="24" t="s">
        <v>68</v>
      </c>
      <c r="D141" s="24">
        <v>8</v>
      </c>
      <c r="E141" s="47"/>
      <c r="F141" s="24">
        <v>10</v>
      </c>
      <c r="G141" s="24">
        <v>10</v>
      </c>
      <c r="H141" s="24">
        <v>10</v>
      </c>
      <c r="I141" s="24">
        <v>10</v>
      </c>
      <c r="J141" s="24">
        <v>10</v>
      </c>
      <c r="K141" s="24">
        <v>10</v>
      </c>
      <c r="L141" s="24">
        <v>10</v>
      </c>
      <c r="M141" s="24">
        <v>10</v>
      </c>
      <c r="N141" s="24">
        <v>10</v>
      </c>
      <c r="O141" s="24">
        <v>10</v>
      </c>
      <c r="P141" s="24">
        <v>10</v>
      </c>
      <c r="Q141" s="24">
        <v>10</v>
      </c>
      <c r="R141" s="24">
        <v>10</v>
      </c>
      <c r="S141" s="42">
        <v>2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0</v>
      </c>
      <c r="AC141" s="37">
        <v>0</v>
      </c>
      <c r="AD141" s="37">
        <v>0</v>
      </c>
      <c r="AE141" s="37">
        <v>0</v>
      </c>
      <c r="AF141" s="37">
        <v>0</v>
      </c>
      <c r="AG141" s="37">
        <v>0</v>
      </c>
    </row>
    <row r="142" spans="1:33" ht="18" x14ac:dyDescent="0.2">
      <c r="A142" s="68"/>
      <c r="B142" s="25" t="s">
        <v>37</v>
      </c>
      <c r="C142" s="24" t="s">
        <v>69</v>
      </c>
      <c r="D142" s="24">
        <v>6</v>
      </c>
      <c r="E142" s="47"/>
      <c r="F142" s="24">
        <v>6</v>
      </c>
      <c r="G142" s="24">
        <v>6</v>
      </c>
      <c r="H142" s="24">
        <v>6</v>
      </c>
      <c r="I142" s="24">
        <v>6</v>
      </c>
      <c r="J142" s="24">
        <v>6</v>
      </c>
      <c r="K142" s="24">
        <v>6</v>
      </c>
      <c r="L142" s="24">
        <v>6</v>
      </c>
      <c r="M142" s="24">
        <v>6</v>
      </c>
      <c r="N142" s="24">
        <v>6</v>
      </c>
      <c r="O142" s="24">
        <v>6</v>
      </c>
      <c r="P142" s="24">
        <v>6</v>
      </c>
      <c r="Q142" s="24">
        <v>6</v>
      </c>
      <c r="R142" s="24">
        <v>6</v>
      </c>
      <c r="S142" s="24">
        <v>6</v>
      </c>
      <c r="T142" s="22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</row>
    <row r="143" spans="1:33" ht="18" x14ac:dyDescent="0.2">
      <c r="A143" s="68"/>
      <c r="B143" s="25" t="s">
        <v>13</v>
      </c>
      <c r="C143" s="24" t="s">
        <v>66</v>
      </c>
      <c r="D143" s="24">
        <v>4</v>
      </c>
      <c r="E143" s="47"/>
      <c r="F143" s="24">
        <v>4</v>
      </c>
      <c r="G143" s="24">
        <v>4</v>
      </c>
      <c r="H143" s="24">
        <v>4</v>
      </c>
      <c r="I143" s="24">
        <v>4</v>
      </c>
      <c r="J143" s="24">
        <v>4</v>
      </c>
      <c r="K143" s="24">
        <v>4</v>
      </c>
      <c r="L143" s="24">
        <v>4</v>
      </c>
      <c r="M143" s="24">
        <v>4</v>
      </c>
      <c r="N143" s="24">
        <v>4</v>
      </c>
      <c r="O143" s="24">
        <v>4</v>
      </c>
      <c r="P143" s="24">
        <v>4</v>
      </c>
      <c r="Q143" s="24">
        <v>4</v>
      </c>
      <c r="R143" s="24">
        <v>4</v>
      </c>
      <c r="S143" s="24">
        <v>4</v>
      </c>
      <c r="T143" s="22"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37">
        <v>0</v>
      </c>
    </row>
    <row r="144" spans="1:33" ht="18" x14ac:dyDescent="0.2">
      <c r="A144" s="68"/>
      <c r="B144" s="25" t="s">
        <v>14</v>
      </c>
      <c r="C144" s="24" t="s">
        <v>67</v>
      </c>
      <c r="D144" s="24">
        <v>4</v>
      </c>
      <c r="E144" s="47"/>
      <c r="F144" s="24">
        <v>4</v>
      </c>
      <c r="G144" s="24">
        <v>4</v>
      </c>
      <c r="H144" s="24">
        <v>4</v>
      </c>
      <c r="I144" s="24">
        <v>4</v>
      </c>
      <c r="J144" s="24">
        <v>4</v>
      </c>
      <c r="K144" s="24">
        <v>4</v>
      </c>
      <c r="L144" s="24">
        <v>4</v>
      </c>
      <c r="M144" s="24">
        <v>4</v>
      </c>
      <c r="N144" s="24">
        <v>4</v>
      </c>
      <c r="O144" s="24">
        <v>4</v>
      </c>
      <c r="P144" s="24">
        <v>4</v>
      </c>
      <c r="Q144" s="24">
        <v>4</v>
      </c>
      <c r="R144" s="24">
        <v>4</v>
      </c>
      <c r="S144" s="24">
        <v>4</v>
      </c>
      <c r="T144" s="24">
        <v>4</v>
      </c>
      <c r="U144" s="22">
        <v>0</v>
      </c>
      <c r="V144" s="37">
        <v>0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0</v>
      </c>
      <c r="AC144" s="37">
        <v>0</v>
      </c>
      <c r="AD144" s="37">
        <v>0</v>
      </c>
      <c r="AE144" s="37">
        <v>0</v>
      </c>
      <c r="AF144" s="37">
        <v>0</v>
      </c>
      <c r="AG144" s="37">
        <v>0</v>
      </c>
    </row>
    <row r="145" spans="1:33" ht="18" x14ac:dyDescent="0.2">
      <c r="A145" s="68"/>
      <c r="B145" s="25" t="s">
        <v>15</v>
      </c>
      <c r="C145" s="24" t="s">
        <v>67</v>
      </c>
      <c r="D145" s="24">
        <v>4</v>
      </c>
      <c r="E145" s="47"/>
      <c r="F145" s="24">
        <v>4</v>
      </c>
      <c r="G145" s="24">
        <v>4</v>
      </c>
      <c r="H145" s="24">
        <v>4</v>
      </c>
      <c r="I145" s="24">
        <v>4</v>
      </c>
      <c r="J145" s="24">
        <v>4</v>
      </c>
      <c r="K145" s="24">
        <v>4</v>
      </c>
      <c r="L145" s="24">
        <v>4</v>
      </c>
      <c r="M145" s="24">
        <v>4</v>
      </c>
      <c r="N145" s="24">
        <v>4</v>
      </c>
      <c r="O145" s="24">
        <v>4</v>
      </c>
      <c r="P145" s="24">
        <v>4</v>
      </c>
      <c r="Q145" s="24">
        <v>4</v>
      </c>
      <c r="R145" s="24">
        <v>4</v>
      </c>
      <c r="S145" s="24">
        <v>4</v>
      </c>
      <c r="T145" s="24">
        <v>4</v>
      </c>
      <c r="U145" s="24">
        <v>4</v>
      </c>
      <c r="V145" s="24">
        <v>4</v>
      </c>
      <c r="W145" s="22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</row>
    <row r="146" spans="1:33" ht="18" x14ac:dyDescent="0.2">
      <c r="A146" s="68"/>
      <c r="B146" s="25" t="s">
        <v>38</v>
      </c>
      <c r="C146" s="24" t="s">
        <v>66</v>
      </c>
      <c r="D146" s="24">
        <v>4</v>
      </c>
      <c r="E146" s="47"/>
      <c r="F146" s="24">
        <v>4</v>
      </c>
      <c r="G146" s="24">
        <v>4</v>
      </c>
      <c r="H146" s="24">
        <v>4</v>
      </c>
      <c r="I146" s="24">
        <v>4</v>
      </c>
      <c r="J146" s="24">
        <v>4</v>
      </c>
      <c r="K146" s="24">
        <v>4</v>
      </c>
      <c r="L146" s="24">
        <v>4</v>
      </c>
      <c r="M146" s="24">
        <v>4</v>
      </c>
      <c r="N146" s="24">
        <v>4</v>
      </c>
      <c r="O146" s="24">
        <v>4</v>
      </c>
      <c r="P146" s="24">
        <v>4</v>
      </c>
      <c r="Q146" s="24">
        <v>4</v>
      </c>
      <c r="R146" s="24">
        <v>4</v>
      </c>
      <c r="S146" s="24">
        <v>4</v>
      </c>
      <c r="T146" s="24">
        <v>4</v>
      </c>
      <c r="U146" s="24">
        <v>4</v>
      </c>
      <c r="V146" s="24">
        <v>2</v>
      </c>
      <c r="W146" s="22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0</v>
      </c>
      <c r="AC146" s="37">
        <v>0</v>
      </c>
      <c r="AD146" s="37">
        <v>0</v>
      </c>
      <c r="AE146" s="37">
        <v>0</v>
      </c>
      <c r="AF146" s="37">
        <v>0</v>
      </c>
      <c r="AG146" s="37">
        <v>0</v>
      </c>
    </row>
    <row r="147" spans="1:33" ht="18" x14ac:dyDescent="0.2">
      <c r="A147" s="68"/>
      <c r="B147" s="25" t="s">
        <v>44</v>
      </c>
      <c r="C147" s="24" t="s">
        <v>67</v>
      </c>
      <c r="D147" s="38">
        <v>4</v>
      </c>
      <c r="E147" s="47"/>
      <c r="F147" s="38">
        <v>4</v>
      </c>
      <c r="G147" s="38">
        <v>4</v>
      </c>
      <c r="H147" s="38">
        <v>4</v>
      </c>
      <c r="I147" s="38">
        <v>4</v>
      </c>
      <c r="J147" s="38">
        <v>4</v>
      </c>
      <c r="K147" s="38">
        <v>4</v>
      </c>
      <c r="L147" s="38">
        <v>4</v>
      </c>
      <c r="M147" s="38">
        <v>4</v>
      </c>
      <c r="N147" s="38">
        <v>4</v>
      </c>
      <c r="O147" s="38">
        <v>4</v>
      </c>
      <c r="P147" s="38">
        <v>4</v>
      </c>
      <c r="Q147" s="38">
        <v>4</v>
      </c>
      <c r="R147" s="38">
        <v>4</v>
      </c>
      <c r="S147" s="38">
        <v>4</v>
      </c>
      <c r="T147" s="38">
        <v>4</v>
      </c>
      <c r="U147" s="38">
        <v>4</v>
      </c>
      <c r="V147" s="38">
        <v>4</v>
      </c>
      <c r="W147" s="38">
        <v>4</v>
      </c>
      <c r="X147" s="22">
        <v>0</v>
      </c>
      <c r="Y147" s="62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37">
        <v>0</v>
      </c>
    </row>
    <row r="148" spans="1:33" ht="18" x14ac:dyDescent="0.2">
      <c r="A148" s="68"/>
      <c r="B148" s="25" t="s">
        <v>16</v>
      </c>
      <c r="C148" s="24" t="s">
        <v>66</v>
      </c>
      <c r="D148" s="24">
        <v>4</v>
      </c>
      <c r="E148" s="47"/>
      <c r="F148" s="24">
        <v>4</v>
      </c>
      <c r="G148" s="24">
        <v>4</v>
      </c>
      <c r="H148" s="24">
        <v>4</v>
      </c>
      <c r="I148" s="24">
        <v>4</v>
      </c>
      <c r="J148" s="24">
        <v>4</v>
      </c>
      <c r="K148" s="24">
        <v>4</v>
      </c>
      <c r="L148" s="24">
        <v>4</v>
      </c>
      <c r="M148" s="24">
        <v>4</v>
      </c>
      <c r="N148" s="24">
        <v>4</v>
      </c>
      <c r="O148" s="24">
        <v>4</v>
      </c>
      <c r="P148" s="24">
        <v>4</v>
      </c>
      <c r="Q148" s="24">
        <v>4</v>
      </c>
      <c r="R148" s="24">
        <v>4</v>
      </c>
      <c r="S148" s="24">
        <v>4</v>
      </c>
      <c r="T148" s="24">
        <v>4</v>
      </c>
      <c r="U148" s="24">
        <v>4</v>
      </c>
      <c r="V148" s="24">
        <v>4</v>
      </c>
      <c r="W148" s="24">
        <v>4</v>
      </c>
      <c r="X148" s="24">
        <v>4</v>
      </c>
      <c r="Y148" s="22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0</v>
      </c>
    </row>
    <row r="149" spans="1:33" ht="18" x14ac:dyDescent="0.2">
      <c r="A149" s="68"/>
      <c r="B149" s="25" t="s">
        <v>22</v>
      </c>
      <c r="C149" s="24" t="s">
        <v>66</v>
      </c>
      <c r="D149" s="37">
        <v>5</v>
      </c>
      <c r="E149" s="37"/>
      <c r="F149" s="37">
        <v>4</v>
      </c>
      <c r="G149" s="37">
        <v>4</v>
      </c>
      <c r="H149" s="37">
        <v>4</v>
      </c>
      <c r="I149" s="37">
        <v>4</v>
      </c>
      <c r="J149" s="37">
        <v>4</v>
      </c>
      <c r="K149" s="37">
        <v>4</v>
      </c>
      <c r="L149" s="37">
        <v>4</v>
      </c>
      <c r="M149" s="37">
        <v>4</v>
      </c>
      <c r="N149" s="37">
        <v>4</v>
      </c>
      <c r="O149" s="37">
        <v>4</v>
      </c>
      <c r="P149" s="37">
        <v>4</v>
      </c>
      <c r="Q149" s="37">
        <v>4</v>
      </c>
      <c r="R149" s="37">
        <v>4</v>
      </c>
      <c r="S149" s="37">
        <v>4</v>
      </c>
      <c r="T149" s="37">
        <v>4</v>
      </c>
      <c r="U149" s="37">
        <v>4</v>
      </c>
      <c r="V149" s="37">
        <v>4</v>
      </c>
      <c r="W149" s="37">
        <v>4</v>
      </c>
      <c r="X149" s="37">
        <v>4</v>
      </c>
      <c r="Y149" s="37">
        <v>4</v>
      </c>
      <c r="Z149" s="26">
        <v>1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</row>
    <row r="150" spans="1:33" ht="18" x14ac:dyDescent="0.2">
      <c r="A150" s="68"/>
      <c r="B150" s="25" t="s">
        <v>59</v>
      </c>
      <c r="C150" s="24" t="s">
        <v>67</v>
      </c>
      <c r="D150" s="37">
        <v>4</v>
      </c>
      <c r="E150" s="37"/>
      <c r="F150" s="37">
        <v>4</v>
      </c>
      <c r="G150" s="37">
        <v>4</v>
      </c>
      <c r="H150" s="37">
        <v>4</v>
      </c>
      <c r="I150" s="37">
        <v>4</v>
      </c>
      <c r="J150" s="37">
        <v>4</v>
      </c>
      <c r="K150" s="37">
        <v>4</v>
      </c>
      <c r="L150" s="37">
        <v>4</v>
      </c>
      <c r="M150" s="37">
        <v>4</v>
      </c>
      <c r="N150" s="37">
        <v>4</v>
      </c>
      <c r="O150" s="37">
        <v>4</v>
      </c>
      <c r="P150" s="37">
        <v>4</v>
      </c>
      <c r="Q150" s="37">
        <v>4</v>
      </c>
      <c r="R150" s="37">
        <v>4</v>
      </c>
      <c r="S150" s="37">
        <v>4</v>
      </c>
      <c r="T150" s="37">
        <v>4</v>
      </c>
      <c r="U150" s="37">
        <v>4</v>
      </c>
      <c r="V150" s="37">
        <v>4</v>
      </c>
      <c r="W150" s="37">
        <v>4</v>
      </c>
      <c r="X150" s="37">
        <v>4</v>
      </c>
      <c r="Y150" s="37">
        <v>4</v>
      </c>
      <c r="Z150" s="22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</row>
    <row r="151" spans="1:33" ht="18" x14ac:dyDescent="0.2">
      <c r="A151" s="68"/>
      <c r="B151" s="25" t="s">
        <v>60</v>
      </c>
      <c r="C151" s="24" t="s">
        <v>66</v>
      </c>
      <c r="D151" s="37">
        <v>4</v>
      </c>
      <c r="E151" s="37"/>
      <c r="F151" s="37">
        <v>4</v>
      </c>
      <c r="G151" s="37">
        <v>4</v>
      </c>
      <c r="H151" s="37">
        <v>4</v>
      </c>
      <c r="I151" s="37">
        <v>4</v>
      </c>
      <c r="J151" s="37">
        <v>4</v>
      </c>
      <c r="K151" s="37">
        <v>4</v>
      </c>
      <c r="L151" s="37">
        <v>4</v>
      </c>
      <c r="M151" s="37">
        <v>4</v>
      </c>
      <c r="N151" s="37">
        <v>4</v>
      </c>
      <c r="O151" s="37">
        <v>4</v>
      </c>
      <c r="P151" s="37">
        <v>4</v>
      </c>
      <c r="Q151" s="37">
        <v>4</v>
      </c>
      <c r="R151" s="37">
        <v>4</v>
      </c>
      <c r="S151" s="37">
        <v>4</v>
      </c>
      <c r="T151" s="37">
        <v>4</v>
      </c>
      <c r="U151" s="37">
        <v>4</v>
      </c>
      <c r="V151" s="37">
        <v>4</v>
      </c>
      <c r="W151" s="37">
        <v>4</v>
      </c>
      <c r="X151" s="37">
        <v>4</v>
      </c>
      <c r="Y151" s="37">
        <v>4</v>
      </c>
      <c r="Z151" s="37">
        <v>4</v>
      </c>
      <c r="AA151" s="22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</row>
    <row r="152" spans="1:33" ht="18" x14ac:dyDescent="0.2">
      <c r="A152" s="69"/>
      <c r="B152" s="25" t="s">
        <v>39</v>
      </c>
      <c r="C152" s="37" t="s">
        <v>65</v>
      </c>
      <c r="D152" s="24">
        <v>6</v>
      </c>
      <c r="E152" s="24"/>
      <c r="F152" s="24">
        <v>6</v>
      </c>
      <c r="G152" s="24">
        <v>6</v>
      </c>
      <c r="H152" s="24">
        <v>6</v>
      </c>
      <c r="I152" s="24">
        <v>6</v>
      </c>
      <c r="J152" s="24">
        <v>6</v>
      </c>
      <c r="K152" s="24">
        <v>6</v>
      </c>
      <c r="L152" s="24">
        <v>6</v>
      </c>
      <c r="M152" s="24">
        <v>6</v>
      </c>
      <c r="N152" s="24">
        <v>6</v>
      </c>
      <c r="O152" s="24">
        <v>6</v>
      </c>
      <c r="P152" s="24">
        <v>6</v>
      </c>
      <c r="Q152" s="24">
        <v>6</v>
      </c>
      <c r="R152" s="24">
        <v>6</v>
      </c>
      <c r="S152" s="24">
        <v>6</v>
      </c>
      <c r="T152" s="24">
        <v>6</v>
      </c>
      <c r="U152" s="24">
        <v>6</v>
      </c>
      <c r="V152" s="24">
        <v>6</v>
      </c>
      <c r="W152" s="24">
        <v>6</v>
      </c>
      <c r="X152" s="24">
        <v>6</v>
      </c>
      <c r="Y152" s="24">
        <v>6</v>
      </c>
      <c r="Z152" s="24">
        <v>6</v>
      </c>
      <c r="AA152" s="22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</row>
    <row r="153" spans="1:33" ht="18" x14ac:dyDescent="0.2">
      <c r="A153" s="67" t="s">
        <v>41</v>
      </c>
      <c r="B153" s="25" t="s">
        <v>37</v>
      </c>
      <c r="C153" s="24" t="s">
        <v>75</v>
      </c>
      <c r="D153" s="24">
        <v>2</v>
      </c>
      <c r="E153" s="24"/>
      <c r="F153" s="24">
        <v>2</v>
      </c>
      <c r="G153" s="24">
        <v>2</v>
      </c>
      <c r="H153" s="24">
        <v>2</v>
      </c>
      <c r="I153" s="24">
        <v>2</v>
      </c>
      <c r="J153" s="24">
        <v>2</v>
      </c>
      <c r="K153" s="24">
        <v>2</v>
      </c>
      <c r="L153" s="24">
        <v>2</v>
      </c>
      <c r="M153" s="24">
        <v>2</v>
      </c>
      <c r="N153" s="24">
        <v>2</v>
      </c>
      <c r="O153" s="24">
        <v>2</v>
      </c>
      <c r="P153" s="24">
        <v>2</v>
      </c>
      <c r="Q153" s="24">
        <v>2</v>
      </c>
      <c r="R153" s="24">
        <v>2</v>
      </c>
      <c r="S153" s="24">
        <v>2</v>
      </c>
      <c r="T153" s="24">
        <v>2</v>
      </c>
      <c r="U153" s="24">
        <v>2</v>
      </c>
      <c r="V153" s="24">
        <v>2</v>
      </c>
      <c r="W153" s="24">
        <v>2</v>
      </c>
      <c r="X153" s="24">
        <v>2</v>
      </c>
      <c r="Y153" s="24">
        <v>2</v>
      </c>
      <c r="Z153" s="24">
        <v>2</v>
      </c>
      <c r="AA153" s="24">
        <v>2</v>
      </c>
      <c r="AB153" s="22">
        <v>0</v>
      </c>
      <c r="AC153" s="62">
        <v>0</v>
      </c>
      <c r="AD153" s="37">
        <v>0</v>
      </c>
      <c r="AE153" s="37">
        <v>0</v>
      </c>
      <c r="AF153" s="37">
        <v>0</v>
      </c>
      <c r="AG153" s="37">
        <v>0</v>
      </c>
    </row>
    <row r="154" spans="1:33" ht="18" x14ac:dyDescent="0.2">
      <c r="A154" s="68"/>
      <c r="B154" s="25" t="s">
        <v>13</v>
      </c>
      <c r="C154" s="24" t="s">
        <v>71</v>
      </c>
      <c r="D154" s="24">
        <v>1</v>
      </c>
      <c r="E154" s="24"/>
      <c r="F154" s="24">
        <v>1</v>
      </c>
      <c r="G154" s="24">
        <v>1</v>
      </c>
      <c r="H154" s="24">
        <v>1</v>
      </c>
      <c r="I154" s="24">
        <v>1</v>
      </c>
      <c r="J154" s="24">
        <v>1</v>
      </c>
      <c r="K154" s="24">
        <v>1</v>
      </c>
      <c r="L154" s="24">
        <v>1</v>
      </c>
      <c r="M154" s="24">
        <v>1</v>
      </c>
      <c r="N154" s="24">
        <v>1</v>
      </c>
      <c r="O154" s="24">
        <v>1</v>
      </c>
      <c r="P154" s="24">
        <v>1</v>
      </c>
      <c r="Q154" s="24">
        <v>1</v>
      </c>
      <c r="R154" s="24">
        <v>1</v>
      </c>
      <c r="S154" s="24">
        <v>1</v>
      </c>
      <c r="T154" s="24">
        <v>1</v>
      </c>
      <c r="U154" s="24">
        <v>1</v>
      </c>
      <c r="V154" s="24">
        <v>1</v>
      </c>
      <c r="W154" s="24">
        <v>1</v>
      </c>
      <c r="X154" s="24">
        <v>1</v>
      </c>
      <c r="Y154" s="24">
        <v>1</v>
      </c>
      <c r="Z154" s="24">
        <v>1</v>
      </c>
      <c r="AA154" s="24">
        <v>1</v>
      </c>
      <c r="AB154" s="24">
        <v>1</v>
      </c>
      <c r="AC154" s="22">
        <v>0</v>
      </c>
      <c r="AD154" s="37">
        <v>0</v>
      </c>
      <c r="AE154" s="37">
        <v>0</v>
      </c>
      <c r="AF154" s="37">
        <v>0</v>
      </c>
      <c r="AG154" s="37">
        <v>0</v>
      </c>
    </row>
    <row r="155" spans="1:33" ht="18" x14ac:dyDescent="0.2">
      <c r="A155" s="68"/>
      <c r="B155" s="25" t="s">
        <v>14</v>
      </c>
      <c r="C155" s="24" t="s">
        <v>72</v>
      </c>
      <c r="D155" s="24">
        <v>1</v>
      </c>
      <c r="E155" s="24"/>
      <c r="F155" s="24">
        <v>1</v>
      </c>
      <c r="G155" s="24">
        <v>1</v>
      </c>
      <c r="H155" s="24">
        <v>1</v>
      </c>
      <c r="I155" s="24">
        <v>1</v>
      </c>
      <c r="J155" s="24">
        <v>1</v>
      </c>
      <c r="K155" s="24">
        <v>1</v>
      </c>
      <c r="L155" s="24">
        <v>1</v>
      </c>
      <c r="M155" s="24">
        <v>1</v>
      </c>
      <c r="N155" s="24">
        <v>1</v>
      </c>
      <c r="O155" s="24">
        <v>1</v>
      </c>
      <c r="P155" s="24">
        <v>1</v>
      </c>
      <c r="Q155" s="24">
        <v>1</v>
      </c>
      <c r="R155" s="24">
        <v>1</v>
      </c>
      <c r="S155" s="24">
        <v>1</v>
      </c>
      <c r="T155" s="24">
        <v>1</v>
      </c>
      <c r="U155" s="24">
        <v>1</v>
      </c>
      <c r="V155" s="24">
        <v>1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B155" s="24">
        <v>1</v>
      </c>
      <c r="AC155" s="22">
        <v>0</v>
      </c>
      <c r="AD155" s="37">
        <v>0</v>
      </c>
      <c r="AE155" s="37">
        <v>0</v>
      </c>
      <c r="AF155" s="37">
        <v>0</v>
      </c>
      <c r="AG155" s="37">
        <v>0</v>
      </c>
    </row>
    <row r="156" spans="1:33" ht="18" x14ac:dyDescent="0.2">
      <c r="A156" s="68"/>
      <c r="B156" s="25" t="s">
        <v>15</v>
      </c>
      <c r="C156" s="24" t="s">
        <v>76</v>
      </c>
      <c r="D156" s="24">
        <v>1</v>
      </c>
      <c r="E156" s="24"/>
      <c r="F156" s="24">
        <v>1</v>
      </c>
      <c r="G156" s="24">
        <v>1</v>
      </c>
      <c r="H156" s="24">
        <v>1</v>
      </c>
      <c r="I156" s="24">
        <v>1</v>
      </c>
      <c r="J156" s="24">
        <v>1</v>
      </c>
      <c r="K156" s="24">
        <v>1</v>
      </c>
      <c r="L156" s="24">
        <v>1</v>
      </c>
      <c r="M156" s="24">
        <v>1</v>
      </c>
      <c r="N156" s="24">
        <v>1</v>
      </c>
      <c r="O156" s="24">
        <v>1</v>
      </c>
      <c r="P156" s="24">
        <v>1</v>
      </c>
      <c r="Q156" s="24">
        <v>1</v>
      </c>
      <c r="R156" s="24">
        <v>1</v>
      </c>
      <c r="S156" s="24">
        <v>1</v>
      </c>
      <c r="T156" s="24">
        <v>1</v>
      </c>
      <c r="U156" s="24">
        <v>1</v>
      </c>
      <c r="V156" s="24">
        <v>1</v>
      </c>
      <c r="W156" s="24">
        <v>1</v>
      </c>
      <c r="X156" s="24">
        <v>1</v>
      </c>
      <c r="Y156" s="24">
        <v>1</v>
      </c>
      <c r="Z156" s="24">
        <v>1</v>
      </c>
      <c r="AA156" s="24">
        <v>1</v>
      </c>
      <c r="AB156" s="24">
        <v>1</v>
      </c>
      <c r="AC156" s="22">
        <v>0</v>
      </c>
      <c r="AD156" s="37">
        <v>0</v>
      </c>
      <c r="AE156" s="37">
        <v>0</v>
      </c>
      <c r="AF156" s="37">
        <v>0</v>
      </c>
      <c r="AG156" s="37">
        <v>0</v>
      </c>
    </row>
    <row r="157" spans="1:33" ht="18" x14ac:dyDescent="0.2">
      <c r="A157" s="68"/>
      <c r="B157" s="25" t="s">
        <v>38</v>
      </c>
      <c r="C157" s="24" t="s">
        <v>74</v>
      </c>
      <c r="D157" s="24">
        <v>3</v>
      </c>
      <c r="E157" s="24"/>
      <c r="F157" s="24">
        <v>2</v>
      </c>
      <c r="G157" s="24">
        <v>2</v>
      </c>
      <c r="H157" s="24">
        <v>2</v>
      </c>
      <c r="I157" s="24">
        <v>2</v>
      </c>
      <c r="J157" s="24">
        <v>2</v>
      </c>
      <c r="K157" s="24">
        <v>2</v>
      </c>
      <c r="L157" s="24">
        <v>2</v>
      </c>
      <c r="M157" s="24">
        <v>2</v>
      </c>
      <c r="N157" s="24">
        <v>2</v>
      </c>
      <c r="O157" s="24">
        <v>2</v>
      </c>
      <c r="P157" s="24">
        <v>2</v>
      </c>
      <c r="Q157" s="24">
        <v>2</v>
      </c>
      <c r="R157" s="24">
        <v>2</v>
      </c>
      <c r="S157" s="24">
        <v>2</v>
      </c>
      <c r="T157" s="24">
        <v>2</v>
      </c>
      <c r="U157" s="24">
        <v>2</v>
      </c>
      <c r="V157" s="24">
        <v>2</v>
      </c>
      <c r="W157" s="24">
        <v>2</v>
      </c>
      <c r="X157" s="24">
        <v>2</v>
      </c>
      <c r="Y157" s="24">
        <v>2</v>
      </c>
      <c r="Z157" s="24">
        <v>2</v>
      </c>
      <c r="AA157" s="24">
        <v>2</v>
      </c>
      <c r="AB157" s="24">
        <v>2</v>
      </c>
      <c r="AC157" s="45">
        <v>1</v>
      </c>
      <c r="AD157" s="37">
        <v>0</v>
      </c>
      <c r="AE157" s="37">
        <v>0</v>
      </c>
      <c r="AF157" s="37">
        <v>0</v>
      </c>
      <c r="AG157" s="37">
        <v>0</v>
      </c>
    </row>
    <row r="158" spans="1:33" ht="18" x14ac:dyDescent="0.2">
      <c r="A158" s="68"/>
      <c r="B158" s="25" t="s">
        <v>44</v>
      </c>
      <c r="C158" s="24" t="s">
        <v>70</v>
      </c>
      <c r="D158" s="24">
        <v>1</v>
      </c>
      <c r="E158" s="24"/>
      <c r="F158" s="24">
        <v>1</v>
      </c>
      <c r="G158" s="24">
        <v>1</v>
      </c>
      <c r="H158" s="24">
        <v>1</v>
      </c>
      <c r="I158" s="24">
        <v>1</v>
      </c>
      <c r="J158" s="24">
        <v>1</v>
      </c>
      <c r="K158" s="24">
        <v>1</v>
      </c>
      <c r="L158" s="24">
        <v>1</v>
      </c>
      <c r="M158" s="24">
        <v>1</v>
      </c>
      <c r="N158" s="24">
        <v>1</v>
      </c>
      <c r="O158" s="24">
        <v>1</v>
      </c>
      <c r="P158" s="24">
        <v>1</v>
      </c>
      <c r="Q158" s="24">
        <v>1</v>
      </c>
      <c r="R158" s="24">
        <v>1</v>
      </c>
      <c r="S158" s="24">
        <v>1</v>
      </c>
      <c r="T158" s="24">
        <v>1</v>
      </c>
      <c r="U158" s="24">
        <v>1</v>
      </c>
      <c r="V158" s="24">
        <v>1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B158" s="24">
        <v>1</v>
      </c>
      <c r="AC158" s="22">
        <v>0</v>
      </c>
      <c r="AD158" s="37">
        <v>0</v>
      </c>
      <c r="AE158" s="37">
        <v>0</v>
      </c>
      <c r="AF158" s="37">
        <v>0</v>
      </c>
      <c r="AG158" s="37">
        <v>0</v>
      </c>
    </row>
    <row r="159" spans="1:33" ht="18" x14ac:dyDescent="0.2">
      <c r="A159" s="68"/>
      <c r="B159" s="25" t="s">
        <v>16</v>
      </c>
      <c r="C159" s="24" t="s">
        <v>74</v>
      </c>
      <c r="D159" s="24">
        <v>1</v>
      </c>
      <c r="E159" s="24"/>
      <c r="F159" s="24">
        <v>1</v>
      </c>
      <c r="G159" s="24">
        <v>1</v>
      </c>
      <c r="H159" s="24">
        <v>1</v>
      </c>
      <c r="I159" s="24">
        <v>1</v>
      </c>
      <c r="J159" s="24">
        <v>1</v>
      </c>
      <c r="K159" s="24">
        <v>1</v>
      </c>
      <c r="L159" s="24">
        <v>1</v>
      </c>
      <c r="M159" s="24">
        <v>1</v>
      </c>
      <c r="N159" s="24">
        <v>1</v>
      </c>
      <c r="O159" s="24">
        <v>1</v>
      </c>
      <c r="P159" s="24">
        <v>1</v>
      </c>
      <c r="Q159" s="24">
        <v>1</v>
      </c>
      <c r="R159" s="24">
        <v>1</v>
      </c>
      <c r="S159" s="24">
        <v>1</v>
      </c>
      <c r="T159" s="24">
        <v>1</v>
      </c>
      <c r="U159" s="24">
        <v>1</v>
      </c>
      <c r="V159" s="24">
        <v>1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B159" s="24">
        <v>1</v>
      </c>
      <c r="AC159" s="22">
        <v>0</v>
      </c>
      <c r="AD159" s="37">
        <v>0</v>
      </c>
      <c r="AE159" s="37">
        <v>0</v>
      </c>
      <c r="AF159" s="37">
        <v>0</v>
      </c>
      <c r="AG159" s="37">
        <v>0</v>
      </c>
    </row>
    <row r="160" spans="1:33" ht="18" x14ac:dyDescent="0.2">
      <c r="A160" s="68"/>
      <c r="B160" s="25" t="s">
        <v>22</v>
      </c>
      <c r="C160" s="24" t="s">
        <v>71</v>
      </c>
      <c r="D160" s="24">
        <v>1</v>
      </c>
      <c r="E160" s="24"/>
      <c r="F160" s="24">
        <v>1</v>
      </c>
      <c r="G160" s="24">
        <v>1</v>
      </c>
      <c r="H160" s="24">
        <v>1</v>
      </c>
      <c r="I160" s="24">
        <v>1</v>
      </c>
      <c r="J160" s="24">
        <v>1</v>
      </c>
      <c r="K160" s="24">
        <v>1</v>
      </c>
      <c r="L160" s="24">
        <v>1</v>
      </c>
      <c r="M160" s="24">
        <v>1</v>
      </c>
      <c r="N160" s="24">
        <v>1</v>
      </c>
      <c r="O160" s="24">
        <v>1</v>
      </c>
      <c r="P160" s="24">
        <v>1</v>
      </c>
      <c r="Q160" s="24">
        <v>1</v>
      </c>
      <c r="R160" s="24">
        <v>1</v>
      </c>
      <c r="S160" s="24">
        <v>1</v>
      </c>
      <c r="T160" s="24">
        <v>1</v>
      </c>
      <c r="U160" s="24">
        <v>1</v>
      </c>
      <c r="V160" s="24">
        <v>1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B160" s="24">
        <v>1</v>
      </c>
      <c r="AC160" s="22">
        <v>0</v>
      </c>
      <c r="AD160" s="37">
        <v>0</v>
      </c>
      <c r="AE160" s="37">
        <v>0</v>
      </c>
      <c r="AF160" s="37">
        <v>0</v>
      </c>
      <c r="AG160" s="37">
        <v>0</v>
      </c>
    </row>
    <row r="161" spans="1:33" ht="18" x14ac:dyDescent="0.2">
      <c r="A161" s="68"/>
      <c r="B161" s="25" t="s">
        <v>59</v>
      </c>
      <c r="C161" s="24" t="s">
        <v>76</v>
      </c>
      <c r="D161" s="37">
        <v>1</v>
      </c>
      <c r="E161" s="37"/>
      <c r="F161" s="37">
        <v>1</v>
      </c>
      <c r="G161" s="37">
        <v>1</v>
      </c>
      <c r="H161" s="37">
        <v>1</v>
      </c>
      <c r="I161" s="37">
        <v>1</v>
      </c>
      <c r="J161" s="37">
        <v>1</v>
      </c>
      <c r="K161" s="37">
        <v>1</v>
      </c>
      <c r="L161" s="37">
        <v>1</v>
      </c>
      <c r="M161" s="37">
        <v>1</v>
      </c>
      <c r="N161" s="37">
        <v>1</v>
      </c>
      <c r="O161" s="37">
        <v>1</v>
      </c>
      <c r="P161" s="37">
        <v>1</v>
      </c>
      <c r="Q161" s="37">
        <v>1</v>
      </c>
      <c r="R161" s="37">
        <v>1</v>
      </c>
      <c r="S161" s="37">
        <v>1</v>
      </c>
      <c r="T161" s="37">
        <v>1</v>
      </c>
      <c r="U161" s="37">
        <v>1</v>
      </c>
      <c r="V161" s="37">
        <v>1</v>
      </c>
      <c r="W161" s="37">
        <v>1</v>
      </c>
      <c r="X161" s="37">
        <v>1</v>
      </c>
      <c r="Y161" s="37">
        <v>1</v>
      </c>
      <c r="Z161" s="37">
        <v>1</v>
      </c>
      <c r="AA161" s="37">
        <v>1</v>
      </c>
      <c r="AB161" s="37">
        <v>1</v>
      </c>
      <c r="AC161" s="22">
        <v>0</v>
      </c>
      <c r="AD161" s="37">
        <v>0</v>
      </c>
      <c r="AE161" s="37">
        <v>0</v>
      </c>
      <c r="AF161" s="37">
        <v>0</v>
      </c>
      <c r="AG161" s="37">
        <v>0</v>
      </c>
    </row>
    <row r="162" spans="1:33" ht="18" x14ac:dyDescent="0.2">
      <c r="A162" s="68"/>
      <c r="B162" s="25" t="s">
        <v>60</v>
      </c>
      <c r="C162" s="24" t="s">
        <v>71</v>
      </c>
      <c r="D162" s="37">
        <v>1</v>
      </c>
      <c r="E162" s="37"/>
      <c r="F162" s="37">
        <v>1</v>
      </c>
      <c r="G162" s="37">
        <v>1</v>
      </c>
      <c r="H162" s="37">
        <v>1</v>
      </c>
      <c r="I162" s="37">
        <v>1</v>
      </c>
      <c r="J162" s="37">
        <v>1</v>
      </c>
      <c r="K162" s="37">
        <v>1</v>
      </c>
      <c r="L162" s="37">
        <v>1</v>
      </c>
      <c r="M162" s="37">
        <v>1</v>
      </c>
      <c r="N162" s="37">
        <v>1</v>
      </c>
      <c r="O162" s="37">
        <v>1</v>
      </c>
      <c r="P162" s="37">
        <v>1</v>
      </c>
      <c r="Q162" s="37">
        <v>1</v>
      </c>
      <c r="R162" s="37">
        <v>1</v>
      </c>
      <c r="S162" s="37">
        <v>1</v>
      </c>
      <c r="T162" s="37">
        <v>1</v>
      </c>
      <c r="U162" s="37">
        <v>1</v>
      </c>
      <c r="V162" s="37">
        <v>1</v>
      </c>
      <c r="W162" s="37">
        <v>1</v>
      </c>
      <c r="X162" s="37">
        <v>1</v>
      </c>
      <c r="Y162" s="37">
        <v>1</v>
      </c>
      <c r="Z162" s="37">
        <v>1</v>
      </c>
      <c r="AA162" s="37">
        <v>1</v>
      </c>
      <c r="AB162" s="37">
        <v>1</v>
      </c>
      <c r="AC162" s="22">
        <v>0</v>
      </c>
      <c r="AD162" s="37">
        <v>0</v>
      </c>
      <c r="AE162" s="37">
        <v>0</v>
      </c>
      <c r="AF162" s="37">
        <v>0</v>
      </c>
      <c r="AG162" s="37">
        <v>0</v>
      </c>
    </row>
    <row r="163" spans="1:33" ht="18" x14ac:dyDescent="0.2">
      <c r="A163" s="69"/>
      <c r="B163" s="25" t="s">
        <v>61</v>
      </c>
      <c r="C163" s="24" t="s">
        <v>65</v>
      </c>
      <c r="D163" s="24">
        <v>2</v>
      </c>
      <c r="E163" s="24"/>
      <c r="F163" s="24">
        <v>2</v>
      </c>
      <c r="G163" s="24">
        <v>2</v>
      </c>
      <c r="H163" s="24">
        <v>2</v>
      </c>
      <c r="I163" s="24">
        <v>2</v>
      </c>
      <c r="J163" s="24">
        <v>2</v>
      </c>
      <c r="K163" s="24">
        <v>2</v>
      </c>
      <c r="L163" s="24">
        <v>2</v>
      </c>
      <c r="M163" s="24">
        <v>2</v>
      </c>
      <c r="N163" s="24">
        <v>2</v>
      </c>
      <c r="O163" s="24">
        <v>2</v>
      </c>
      <c r="P163" s="24">
        <v>2</v>
      </c>
      <c r="Q163" s="24">
        <v>2</v>
      </c>
      <c r="R163" s="24">
        <v>2</v>
      </c>
      <c r="S163" s="24">
        <v>2</v>
      </c>
      <c r="T163" s="24">
        <v>2</v>
      </c>
      <c r="U163" s="24">
        <v>2</v>
      </c>
      <c r="V163" s="24">
        <v>2</v>
      </c>
      <c r="W163" s="24">
        <v>2</v>
      </c>
      <c r="X163" s="24">
        <v>2</v>
      </c>
      <c r="Y163" s="24">
        <v>2</v>
      </c>
      <c r="Z163" s="24">
        <v>2</v>
      </c>
      <c r="AA163" s="24">
        <v>2</v>
      </c>
      <c r="AB163" s="24">
        <v>2</v>
      </c>
      <c r="AC163" s="22">
        <v>0</v>
      </c>
      <c r="AD163" s="37">
        <v>0</v>
      </c>
      <c r="AE163" s="37">
        <v>0</v>
      </c>
      <c r="AF163" s="37">
        <v>0</v>
      </c>
      <c r="AG163" s="37">
        <v>0</v>
      </c>
    </row>
    <row r="164" spans="1:33" ht="18" x14ac:dyDescent="0.2">
      <c r="A164" s="67" t="s">
        <v>42</v>
      </c>
      <c r="B164" s="25" t="s">
        <v>36</v>
      </c>
      <c r="C164" s="24" t="s">
        <v>70</v>
      </c>
      <c r="D164" s="24">
        <v>2</v>
      </c>
      <c r="E164" s="24"/>
      <c r="F164" s="24">
        <v>2</v>
      </c>
      <c r="G164" s="24">
        <v>2</v>
      </c>
      <c r="H164" s="24">
        <v>2</v>
      </c>
      <c r="I164" s="24">
        <v>2</v>
      </c>
      <c r="J164" s="24">
        <v>2</v>
      </c>
      <c r="K164" s="24">
        <v>2</v>
      </c>
      <c r="L164" s="24">
        <v>2</v>
      </c>
      <c r="M164" s="24">
        <v>2</v>
      </c>
      <c r="N164" s="24">
        <v>2</v>
      </c>
      <c r="O164" s="24">
        <v>2</v>
      </c>
      <c r="P164" s="24">
        <v>2</v>
      </c>
      <c r="Q164" s="24">
        <v>2</v>
      </c>
      <c r="R164" s="24">
        <v>2</v>
      </c>
      <c r="S164" s="24">
        <v>2</v>
      </c>
      <c r="T164" s="24">
        <v>2</v>
      </c>
      <c r="U164" s="24">
        <v>2</v>
      </c>
      <c r="V164" s="24">
        <v>2</v>
      </c>
      <c r="W164" s="24">
        <v>2</v>
      </c>
      <c r="X164" s="24">
        <v>2</v>
      </c>
      <c r="Y164" s="24">
        <v>2</v>
      </c>
      <c r="Z164" s="24">
        <v>2</v>
      </c>
      <c r="AA164" s="24">
        <v>2</v>
      </c>
      <c r="AB164" s="24">
        <v>2</v>
      </c>
      <c r="AC164" s="24">
        <v>2</v>
      </c>
      <c r="AD164" s="22">
        <v>0</v>
      </c>
      <c r="AE164" s="62">
        <v>0</v>
      </c>
      <c r="AF164" s="37">
        <v>0</v>
      </c>
      <c r="AG164" s="37">
        <v>0</v>
      </c>
    </row>
    <row r="165" spans="1:33" ht="18" x14ac:dyDescent="0.2">
      <c r="A165" s="68"/>
      <c r="B165" s="25" t="s">
        <v>37</v>
      </c>
      <c r="C165" s="24" t="s">
        <v>74</v>
      </c>
      <c r="D165" s="37">
        <v>3</v>
      </c>
      <c r="E165" s="37"/>
      <c r="F165" s="37">
        <v>3</v>
      </c>
      <c r="G165" s="37">
        <v>3</v>
      </c>
      <c r="H165" s="37">
        <v>3</v>
      </c>
      <c r="I165" s="37">
        <v>3</v>
      </c>
      <c r="J165" s="37">
        <v>3</v>
      </c>
      <c r="K165" s="37">
        <v>3</v>
      </c>
      <c r="L165" s="37">
        <v>3</v>
      </c>
      <c r="M165" s="37">
        <v>3</v>
      </c>
      <c r="N165" s="37">
        <v>3</v>
      </c>
      <c r="O165" s="37">
        <v>3</v>
      </c>
      <c r="P165" s="37">
        <v>3</v>
      </c>
      <c r="Q165" s="37">
        <v>3</v>
      </c>
      <c r="R165" s="37">
        <v>3</v>
      </c>
      <c r="S165" s="37">
        <v>3</v>
      </c>
      <c r="T165" s="37">
        <v>3</v>
      </c>
      <c r="U165" s="37">
        <v>3</v>
      </c>
      <c r="V165" s="37">
        <v>3</v>
      </c>
      <c r="W165" s="37">
        <v>3</v>
      </c>
      <c r="X165" s="37">
        <v>3</v>
      </c>
      <c r="Y165" s="37">
        <v>3</v>
      </c>
      <c r="Z165" s="37">
        <v>3</v>
      </c>
      <c r="AA165" s="37">
        <v>3</v>
      </c>
      <c r="AB165" s="37">
        <v>3</v>
      </c>
      <c r="AC165" s="37">
        <v>3</v>
      </c>
      <c r="AD165" s="37">
        <v>3</v>
      </c>
      <c r="AE165" s="22">
        <v>0</v>
      </c>
      <c r="AF165" s="37">
        <v>0</v>
      </c>
      <c r="AG165" s="37">
        <v>0</v>
      </c>
    </row>
    <row r="166" spans="1:33" ht="18" x14ac:dyDescent="0.2">
      <c r="A166" s="68"/>
      <c r="B166" s="25" t="s">
        <v>13</v>
      </c>
      <c r="C166" s="24" t="s">
        <v>70</v>
      </c>
      <c r="D166" s="37">
        <v>2</v>
      </c>
      <c r="E166" s="37"/>
      <c r="F166" s="37">
        <v>2</v>
      </c>
      <c r="G166" s="37">
        <v>2</v>
      </c>
      <c r="H166" s="37">
        <v>2</v>
      </c>
      <c r="I166" s="37">
        <v>2</v>
      </c>
      <c r="J166" s="37">
        <v>2</v>
      </c>
      <c r="K166" s="37">
        <v>2</v>
      </c>
      <c r="L166" s="37">
        <v>2</v>
      </c>
      <c r="M166" s="37">
        <v>2</v>
      </c>
      <c r="N166" s="37">
        <v>2</v>
      </c>
      <c r="O166" s="37">
        <v>2</v>
      </c>
      <c r="P166" s="37">
        <v>2</v>
      </c>
      <c r="Q166" s="37">
        <v>2</v>
      </c>
      <c r="R166" s="37">
        <v>2</v>
      </c>
      <c r="S166" s="37">
        <v>2</v>
      </c>
      <c r="T166" s="37">
        <v>2</v>
      </c>
      <c r="U166" s="37">
        <v>2</v>
      </c>
      <c r="V166" s="37">
        <v>2</v>
      </c>
      <c r="W166" s="37">
        <v>2</v>
      </c>
      <c r="X166" s="37">
        <v>2</v>
      </c>
      <c r="Y166" s="37">
        <v>2</v>
      </c>
      <c r="Z166" s="37">
        <v>2</v>
      </c>
      <c r="AA166" s="37">
        <v>2</v>
      </c>
      <c r="AB166" s="37">
        <v>2</v>
      </c>
      <c r="AC166" s="37">
        <v>2</v>
      </c>
      <c r="AD166" s="37">
        <v>2</v>
      </c>
      <c r="AE166" s="22">
        <v>0</v>
      </c>
      <c r="AF166" s="37">
        <v>0</v>
      </c>
      <c r="AG166" s="37">
        <v>0</v>
      </c>
    </row>
    <row r="167" spans="1:33" ht="18" x14ac:dyDescent="0.2">
      <c r="A167" s="68"/>
      <c r="B167" s="25" t="s">
        <v>14</v>
      </c>
      <c r="C167" s="24" t="s">
        <v>74</v>
      </c>
      <c r="D167" s="24">
        <v>2</v>
      </c>
      <c r="E167" s="24"/>
      <c r="F167" s="24">
        <v>2</v>
      </c>
      <c r="G167" s="24">
        <v>2</v>
      </c>
      <c r="H167" s="24">
        <v>2</v>
      </c>
      <c r="I167" s="24">
        <v>2</v>
      </c>
      <c r="J167" s="24">
        <v>2</v>
      </c>
      <c r="K167" s="24">
        <v>2</v>
      </c>
      <c r="L167" s="24">
        <v>2</v>
      </c>
      <c r="M167" s="24">
        <v>2</v>
      </c>
      <c r="N167" s="24">
        <v>2</v>
      </c>
      <c r="O167" s="24">
        <v>2</v>
      </c>
      <c r="P167" s="24">
        <v>2</v>
      </c>
      <c r="Q167" s="24">
        <v>2</v>
      </c>
      <c r="R167" s="24">
        <v>2</v>
      </c>
      <c r="S167" s="24">
        <v>2</v>
      </c>
      <c r="T167" s="24">
        <v>2</v>
      </c>
      <c r="U167" s="24">
        <v>2</v>
      </c>
      <c r="V167" s="24">
        <v>2</v>
      </c>
      <c r="W167" s="24">
        <v>2</v>
      </c>
      <c r="X167" s="24">
        <v>2</v>
      </c>
      <c r="Y167" s="24">
        <v>2</v>
      </c>
      <c r="Z167" s="24">
        <v>2</v>
      </c>
      <c r="AA167" s="24">
        <v>2</v>
      </c>
      <c r="AB167" s="24">
        <v>2</v>
      </c>
      <c r="AC167" s="24">
        <v>2</v>
      </c>
      <c r="AD167" s="24">
        <v>2</v>
      </c>
      <c r="AE167" s="22">
        <v>0</v>
      </c>
      <c r="AF167" s="37">
        <v>0</v>
      </c>
      <c r="AG167" s="37">
        <v>0</v>
      </c>
    </row>
    <row r="168" spans="1:33" ht="18" x14ac:dyDescent="0.2">
      <c r="A168" s="68"/>
      <c r="B168" s="25" t="s">
        <v>15</v>
      </c>
      <c r="C168" s="24" t="s">
        <v>71</v>
      </c>
      <c r="D168" s="37">
        <v>3</v>
      </c>
      <c r="E168" s="37"/>
      <c r="F168" s="37">
        <v>3</v>
      </c>
      <c r="G168" s="37">
        <v>3</v>
      </c>
      <c r="H168" s="37">
        <v>3</v>
      </c>
      <c r="I168" s="37">
        <v>3</v>
      </c>
      <c r="J168" s="37">
        <v>3</v>
      </c>
      <c r="K168" s="37">
        <v>3</v>
      </c>
      <c r="L168" s="37">
        <v>3</v>
      </c>
      <c r="M168" s="37">
        <v>3</v>
      </c>
      <c r="N168" s="37">
        <v>3</v>
      </c>
      <c r="O168" s="37">
        <v>3</v>
      </c>
      <c r="P168" s="37">
        <v>3</v>
      </c>
      <c r="Q168" s="37">
        <v>3</v>
      </c>
      <c r="R168" s="37">
        <v>3</v>
      </c>
      <c r="S168" s="37">
        <v>3</v>
      </c>
      <c r="T168" s="37">
        <v>3</v>
      </c>
      <c r="U168" s="37">
        <v>3</v>
      </c>
      <c r="V168" s="37">
        <v>3</v>
      </c>
      <c r="W168" s="37">
        <v>3</v>
      </c>
      <c r="X168" s="37">
        <v>3</v>
      </c>
      <c r="Y168" s="37">
        <v>3</v>
      </c>
      <c r="Z168" s="37">
        <v>3</v>
      </c>
      <c r="AA168" s="37">
        <v>3</v>
      </c>
      <c r="AB168" s="37">
        <v>3</v>
      </c>
      <c r="AC168" s="37">
        <v>3</v>
      </c>
      <c r="AD168" s="37">
        <v>3</v>
      </c>
      <c r="AE168" s="22">
        <v>0</v>
      </c>
      <c r="AF168" s="37">
        <v>0</v>
      </c>
      <c r="AG168" s="37">
        <v>0</v>
      </c>
    </row>
    <row r="169" spans="1:33" ht="18" x14ac:dyDescent="0.2">
      <c r="A169" s="68"/>
      <c r="B169" s="25" t="s">
        <v>38</v>
      </c>
      <c r="C169" s="24" t="s">
        <v>76</v>
      </c>
      <c r="D169" s="24">
        <v>2</v>
      </c>
      <c r="E169" s="24"/>
      <c r="F169" s="24">
        <v>2</v>
      </c>
      <c r="G169" s="24">
        <v>2</v>
      </c>
      <c r="H169" s="24">
        <v>2</v>
      </c>
      <c r="I169" s="24">
        <v>2</v>
      </c>
      <c r="J169" s="24">
        <v>2</v>
      </c>
      <c r="K169" s="24">
        <v>2</v>
      </c>
      <c r="L169" s="24">
        <v>2</v>
      </c>
      <c r="M169" s="24">
        <v>2</v>
      </c>
      <c r="N169" s="24">
        <v>2</v>
      </c>
      <c r="O169" s="24">
        <v>2</v>
      </c>
      <c r="P169" s="24">
        <v>2</v>
      </c>
      <c r="Q169" s="24">
        <v>2</v>
      </c>
      <c r="R169" s="24">
        <v>2</v>
      </c>
      <c r="S169" s="24">
        <v>2</v>
      </c>
      <c r="T169" s="24">
        <v>2</v>
      </c>
      <c r="U169" s="24">
        <v>2</v>
      </c>
      <c r="V169" s="24">
        <v>2</v>
      </c>
      <c r="W169" s="24">
        <v>2</v>
      </c>
      <c r="X169" s="24">
        <v>2</v>
      </c>
      <c r="Y169" s="24">
        <v>2</v>
      </c>
      <c r="Z169" s="24">
        <v>2</v>
      </c>
      <c r="AA169" s="24">
        <v>2</v>
      </c>
      <c r="AB169" s="24">
        <v>2</v>
      </c>
      <c r="AC169" s="24">
        <v>2</v>
      </c>
      <c r="AD169" s="24">
        <v>2</v>
      </c>
      <c r="AE169" s="22">
        <v>0</v>
      </c>
      <c r="AF169" s="37">
        <v>0</v>
      </c>
      <c r="AG169" s="37">
        <v>0</v>
      </c>
    </row>
    <row r="170" spans="1:33" ht="18" x14ac:dyDescent="0.2">
      <c r="A170" s="68"/>
      <c r="B170" s="25" t="s">
        <v>44</v>
      </c>
      <c r="C170" s="24" t="s">
        <v>71</v>
      </c>
      <c r="D170" s="37">
        <v>1</v>
      </c>
      <c r="E170" s="37"/>
      <c r="F170" s="37">
        <v>1</v>
      </c>
      <c r="G170" s="37">
        <v>1</v>
      </c>
      <c r="H170" s="37">
        <v>1</v>
      </c>
      <c r="I170" s="37">
        <v>1</v>
      </c>
      <c r="J170" s="37">
        <v>1</v>
      </c>
      <c r="K170" s="37">
        <v>1</v>
      </c>
      <c r="L170" s="37">
        <v>1</v>
      </c>
      <c r="M170" s="37">
        <v>1</v>
      </c>
      <c r="N170" s="37">
        <v>1</v>
      </c>
      <c r="O170" s="37">
        <v>1</v>
      </c>
      <c r="P170" s="37">
        <v>1</v>
      </c>
      <c r="Q170" s="37">
        <v>1</v>
      </c>
      <c r="R170" s="37">
        <v>1</v>
      </c>
      <c r="S170" s="37">
        <v>1</v>
      </c>
      <c r="T170" s="37">
        <v>1</v>
      </c>
      <c r="U170" s="37">
        <v>1</v>
      </c>
      <c r="V170" s="37">
        <v>1</v>
      </c>
      <c r="W170" s="37">
        <v>1</v>
      </c>
      <c r="X170" s="37">
        <v>1</v>
      </c>
      <c r="Y170" s="37">
        <v>1</v>
      </c>
      <c r="Z170" s="37">
        <v>1</v>
      </c>
      <c r="AA170" s="37">
        <v>1</v>
      </c>
      <c r="AB170" s="37">
        <v>1</v>
      </c>
      <c r="AC170" s="37">
        <v>1</v>
      </c>
      <c r="AD170" s="37">
        <v>1</v>
      </c>
      <c r="AE170" s="22">
        <v>0</v>
      </c>
      <c r="AF170" s="37">
        <v>0</v>
      </c>
      <c r="AG170" s="37">
        <v>0</v>
      </c>
    </row>
    <row r="171" spans="1:33" ht="18" x14ac:dyDescent="0.2">
      <c r="A171" s="68"/>
      <c r="B171" s="25" t="s">
        <v>16</v>
      </c>
      <c r="C171" s="24" t="s">
        <v>76</v>
      </c>
      <c r="D171" s="24">
        <v>2</v>
      </c>
      <c r="E171" s="24"/>
      <c r="F171" s="24">
        <v>2</v>
      </c>
      <c r="G171" s="24">
        <v>2</v>
      </c>
      <c r="H171" s="24">
        <v>2</v>
      </c>
      <c r="I171" s="24">
        <v>2</v>
      </c>
      <c r="J171" s="24">
        <v>2</v>
      </c>
      <c r="K171" s="24">
        <v>2</v>
      </c>
      <c r="L171" s="24">
        <v>2</v>
      </c>
      <c r="M171" s="24">
        <v>2</v>
      </c>
      <c r="N171" s="24">
        <v>2</v>
      </c>
      <c r="O171" s="24">
        <v>2</v>
      </c>
      <c r="P171" s="24">
        <v>2</v>
      </c>
      <c r="Q171" s="24">
        <v>2</v>
      </c>
      <c r="R171" s="24">
        <v>2</v>
      </c>
      <c r="S171" s="24">
        <v>2</v>
      </c>
      <c r="T171" s="24">
        <v>2</v>
      </c>
      <c r="U171" s="24">
        <v>2</v>
      </c>
      <c r="V171" s="24">
        <v>2</v>
      </c>
      <c r="W171" s="24">
        <v>2</v>
      </c>
      <c r="X171" s="24">
        <v>2</v>
      </c>
      <c r="Y171" s="24">
        <v>2</v>
      </c>
      <c r="Z171" s="24">
        <v>2</v>
      </c>
      <c r="AA171" s="24">
        <v>2</v>
      </c>
      <c r="AB171" s="24">
        <v>2</v>
      </c>
      <c r="AC171" s="24">
        <v>2</v>
      </c>
      <c r="AD171" s="24">
        <v>2</v>
      </c>
      <c r="AE171" s="22">
        <v>0</v>
      </c>
      <c r="AF171" s="37">
        <v>0</v>
      </c>
      <c r="AG171" s="37">
        <v>0</v>
      </c>
    </row>
    <row r="172" spans="1:33" ht="18" x14ac:dyDescent="0.2">
      <c r="A172" s="68"/>
      <c r="B172" s="25" t="s">
        <v>22</v>
      </c>
      <c r="C172" s="24" t="s">
        <v>70</v>
      </c>
      <c r="D172" s="37">
        <v>3</v>
      </c>
      <c r="E172" s="24"/>
      <c r="F172" s="24">
        <v>1</v>
      </c>
      <c r="G172" s="24">
        <v>1</v>
      </c>
      <c r="H172" s="24">
        <v>1</v>
      </c>
      <c r="I172" s="24">
        <v>1</v>
      </c>
      <c r="J172" s="24">
        <v>1</v>
      </c>
      <c r="K172" s="24">
        <v>1</v>
      </c>
      <c r="L172" s="24">
        <v>1</v>
      </c>
      <c r="M172" s="24">
        <v>1</v>
      </c>
      <c r="N172" s="24">
        <v>1</v>
      </c>
      <c r="O172" s="24">
        <v>1</v>
      </c>
      <c r="P172" s="24">
        <v>1</v>
      </c>
      <c r="Q172" s="24">
        <v>1</v>
      </c>
      <c r="R172" s="24">
        <v>1</v>
      </c>
      <c r="S172" s="24">
        <v>1</v>
      </c>
      <c r="T172" s="24">
        <v>1</v>
      </c>
      <c r="U172" s="24">
        <v>1</v>
      </c>
      <c r="V172" s="24">
        <v>1</v>
      </c>
      <c r="W172" s="24">
        <v>1</v>
      </c>
      <c r="X172" s="24">
        <v>1</v>
      </c>
      <c r="Y172" s="24">
        <v>1</v>
      </c>
      <c r="Z172" s="24">
        <v>1</v>
      </c>
      <c r="AA172" s="24">
        <v>1</v>
      </c>
      <c r="AB172" s="24">
        <v>1</v>
      </c>
      <c r="AC172" s="24">
        <v>1</v>
      </c>
      <c r="AD172" s="24">
        <v>1</v>
      </c>
      <c r="AE172" s="26">
        <v>2</v>
      </c>
      <c r="AF172" s="37">
        <v>0</v>
      </c>
      <c r="AG172" s="37">
        <v>0</v>
      </c>
    </row>
    <row r="173" spans="1:33" ht="18" x14ac:dyDescent="0.2">
      <c r="A173" s="68"/>
      <c r="B173" s="25" t="s">
        <v>59</v>
      </c>
      <c r="C173" s="24" t="s">
        <v>71</v>
      </c>
      <c r="D173" s="24">
        <v>1</v>
      </c>
      <c r="E173" s="24"/>
      <c r="F173" s="24">
        <v>1</v>
      </c>
      <c r="G173" s="24">
        <v>1</v>
      </c>
      <c r="H173" s="24">
        <v>1</v>
      </c>
      <c r="I173" s="24">
        <v>1</v>
      </c>
      <c r="J173" s="24">
        <v>1</v>
      </c>
      <c r="K173" s="24">
        <v>1</v>
      </c>
      <c r="L173" s="24">
        <v>1</v>
      </c>
      <c r="M173" s="24">
        <v>1</v>
      </c>
      <c r="N173" s="24">
        <v>1</v>
      </c>
      <c r="O173" s="24">
        <v>1</v>
      </c>
      <c r="P173" s="24">
        <v>1</v>
      </c>
      <c r="Q173" s="24">
        <v>1</v>
      </c>
      <c r="R173" s="24">
        <v>1</v>
      </c>
      <c r="S173" s="24">
        <v>1</v>
      </c>
      <c r="T173" s="24">
        <v>1</v>
      </c>
      <c r="U173" s="24">
        <v>1</v>
      </c>
      <c r="V173" s="24">
        <v>1</v>
      </c>
      <c r="W173" s="24">
        <v>1</v>
      </c>
      <c r="X173" s="24">
        <v>1</v>
      </c>
      <c r="Y173" s="24">
        <v>1</v>
      </c>
      <c r="Z173" s="24">
        <v>1</v>
      </c>
      <c r="AA173" s="24">
        <v>1</v>
      </c>
      <c r="AB173" s="24">
        <v>1</v>
      </c>
      <c r="AC173" s="24">
        <v>1</v>
      </c>
      <c r="AD173" s="24">
        <v>1</v>
      </c>
      <c r="AE173" s="22">
        <v>0</v>
      </c>
      <c r="AF173" s="37">
        <v>0</v>
      </c>
      <c r="AG173" s="37">
        <v>0</v>
      </c>
    </row>
    <row r="174" spans="1:33" ht="18" x14ac:dyDescent="0.2">
      <c r="A174" s="68"/>
      <c r="B174" s="25" t="s">
        <v>60</v>
      </c>
      <c r="C174" s="24" t="s">
        <v>76</v>
      </c>
      <c r="D174" s="24">
        <v>1</v>
      </c>
      <c r="E174" s="24"/>
      <c r="F174" s="24">
        <v>1</v>
      </c>
      <c r="G174" s="24">
        <v>1</v>
      </c>
      <c r="H174" s="24">
        <v>1</v>
      </c>
      <c r="I174" s="24">
        <v>1</v>
      </c>
      <c r="J174" s="24">
        <v>1</v>
      </c>
      <c r="K174" s="24">
        <v>1</v>
      </c>
      <c r="L174" s="24">
        <v>1</v>
      </c>
      <c r="M174" s="24">
        <v>1</v>
      </c>
      <c r="N174" s="24">
        <v>1</v>
      </c>
      <c r="O174" s="24">
        <v>1</v>
      </c>
      <c r="P174" s="24">
        <v>1</v>
      </c>
      <c r="Q174" s="24">
        <v>1</v>
      </c>
      <c r="R174" s="24">
        <v>1</v>
      </c>
      <c r="S174" s="24">
        <v>1</v>
      </c>
      <c r="T174" s="24">
        <v>1</v>
      </c>
      <c r="U174" s="24">
        <v>1</v>
      </c>
      <c r="V174" s="24">
        <v>1</v>
      </c>
      <c r="W174" s="24">
        <v>1</v>
      </c>
      <c r="X174" s="24">
        <v>1</v>
      </c>
      <c r="Y174" s="24">
        <v>1</v>
      </c>
      <c r="Z174" s="24">
        <v>1</v>
      </c>
      <c r="AA174" s="24">
        <v>1</v>
      </c>
      <c r="AB174" s="24">
        <v>1</v>
      </c>
      <c r="AC174" s="24">
        <v>1</v>
      </c>
      <c r="AD174" s="24">
        <v>1</v>
      </c>
      <c r="AE174" s="22">
        <v>0</v>
      </c>
      <c r="AF174" s="37">
        <v>0</v>
      </c>
      <c r="AG174" s="37">
        <v>0</v>
      </c>
    </row>
    <row r="175" spans="1:33" ht="18" x14ac:dyDescent="0.2">
      <c r="A175" s="69"/>
      <c r="B175" s="25" t="s">
        <v>39</v>
      </c>
      <c r="C175" s="24" t="s">
        <v>65</v>
      </c>
      <c r="D175" s="24">
        <v>4</v>
      </c>
      <c r="E175" s="24"/>
      <c r="F175" s="24">
        <v>2</v>
      </c>
      <c r="G175" s="24">
        <v>2</v>
      </c>
      <c r="H175" s="24">
        <v>2</v>
      </c>
      <c r="I175" s="24">
        <v>2</v>
      </c>
      <c r="J175" s="24">
        <v>2</v>
      </c>
      <c r="K175" s="24">
        <v>2</v>
      </c>
      <c r="L175" s="24">
        <v>2</v>
      </c>
      <c r="M175" s="24">
        <v>2</v>
      </c>
      <c r="N175" s="24">
        <v>2</v>
      </c>
      <c r="O175" s="24">
        <v>2</v>
      </c>
      <c r="P175" s="24">
        <v>2</v>
      </c>
      <c r="Q175" s="24">
        <v>2</v>
      </c>
      <c r="R175" s="24">
        <v>2</v>
      </c>
      <c r="S175" s="24">
        <v>2</v>
      </c>
      <c r="T175" s="24">
        <v>2</v>
      </c>
      <c r="U175" s="24">
        <v>2</v>
      </c>
      <c r="V175" s="24">
        <v>2</v>
      </c>
      <c r="W175" s="24">
        <v>2</v>
      </c>
      <c r="X175" s="24">
        <v>2</v>
      </c>
      <c r="Y175" s="24">
        <v>2</v>
      </c>
      <c r="Z175" s="24">
        <v>2</v>
      </c>
      <c r="AA175" s="24">
        <v>2</v>
      </c>
      <c r="AB175" s="24">
        <v>2</v>
      </c>
      <c r="AC175" s="24">
        <v>2</v>
      </c>
      <c r="AD175" s="24">
        <v>2</v>
      </c>
      <c r="AE175" s="22">
        <v>0</v>
      </c>
      <c r="AF175" s="37">
        <v>0</v>
      </c>
      <c r="AG175" s="37">
        <v>0</v>
      </c>
    </row>
    <row r="176" spans="1:33" ht="18" x14ac:dyDescent="0.2">
      <c r="A176" s="67" t="s">
        <v>43</v>
      </c>
      <c r="B176" s="25" t="s">
        <v>37</v>
      </c>
      <c r="C176" s="24" t="s">
        <v>68</v>
      </c>
      <c r="D176" s="24">
        <v>1</v>
      </c>
      <c r="E176" s="24"/>
      <c r="F176" s="24">
        <v>1</v>
      </c>
      <c r="G176" s="24">
        <v>1</v>
      </c>
      <c r="H176" s="24">
        <v>1</v>
      </c>
      <c r="I176" s="24">
        <v>1</v>
      </c>
      <c r="J176" s="24">
        <v>1</v>
      </c>
      <c r="K176" s="24">
        <v>1</v>
      </c>
      <c r="L176" s="24">
        <v>1</v>
      </c>
      <c r="M176" s="24">
        <v>1</v>
      </c>
      <c r="N176" s="24">
        <v>1</v>
      </c>
      <c r="O176" s="24">
        <v>1</v>
      </c>
      <c r="P176" s="24">
        <v>1</v>
      </c>
      <c r="Q176" s="24">
        <v>1</v>
      </c>
      <c r="R176" s="24">
        <v>1</v>
      </c>
      <c r="S176" s="24">
        <v>1</v>
      </c>
      <c r="T176" s="24">
        <v>1</v>
      </c>
      <c r="U176" s="24">
        <v>1</v>
      </c>
      <c r="V176" s="24">
        <v>1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B176" s="24">
        <v>1</v>
      </c>
      <c r="AC176" s="24">
        <v>1</v>
      </c>
      <c r="AD176" s="24">
        <v>1</v>
      </c>
      <c r="AE176" s="24">
        <v>1</v>
      </c>
      <c r="AF176" s="22">
        <v>0</v>
      </c>
      <c r="AG176" s="37">
        <v>0</v>
      </c>
    </row>
    <row r="177" spans="1:33" ht="18" x14ac:dyDescent="0.2">
      <c r="A177" s="68"/>
      <c r="B177" s="25" t="s">
        <v>13</v>
      </c>
      <c r="C177" s="24" t="s">
        <v>67</v>
      </c>
      <c r="D177" s="24">
        <v>2</v>
      </c>
      <c r="E177" s="24"/>
      <c r="F177" s="24">
        <v>1</v>
      </c>
      <c r="G177" s="24">
        <v>1</v>
      </c>
      <c r="H177" s="24">
        <v>1</v>
      </c>
      <c r="I177" s="24">
        <v>1</v>
      </c>
      <c r="J177" s="24">
        <v>1</v>
      </c>
      <c r="K177" s="24">
        <v>1</v>
      </c>
      <c r="L177" s="24">
        <v>1</v>
      </c>
      <c r="M177" s="24">
        <v>1</v>
      </c>
      <c r="N177" s="24">
        <v>1</v>
      </c>
      <c r="O177" s="24">
        <v>1</v>
      </c>
      <c r="P177" s="24">
        <v>1</v>
      </c>
      <c r="Q177" s="24">
        <v>1</v>
      </c>
      <c r="R177" s="24">
        <v>1</v>
      </c>
      <c r="S177" s="24">
        <v>1</v>
      </c>
      <c r="T177" s="24">
        <v>1</v>
      </c>
      <c r="U177" s="24">
        <v>1</v>
      </c>
      <c r="V177" s="24">
        <v>1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B177" s="24">
        <v>1</v>
      </c>
      <c r="AC177" s="24">
        <v>1</v>
      </c>
      <c r="AD177" s="24">
        <v>1</v>
      </c>
      <c r="AE177" s="24">
        <v>1</v>
      </c>
      <c r="AF177" s="45">
        <v>1</v>
      </c>
      <c r="AG177" s="37">
        <v>0</v>
      </c>
    </row>
    <row r="178" spans="1:33" ht="18" x14ac:dyDescent="0.2">
      <c r="A178" s="68"/>
      <c r="B178" s="25" t="s">
        <v>14</v>
      </c>
      <c r="C178" s="24" t="s">
        <v>66</v>
      </c>
      <c r="D178" s="24">
        <v>1</v>
      </c>
      <c r="E178" s="24"/>
      <c r="F178" s="24">
        <v>1</v>
      </c>
      <c r="G178" s="24">
        <v>1</v>
      </c>
      <c r="H178" s="24">
        <v>1</v>
      </c>
      <c r="I178" s="24">
        <v>1</v>
      </c>
      <c r="J178" s="24">
        <v>1</v>
      </c>
      <c r="K178" s="24">
        <v>1</v>
      </c>
      <c r="L178" s="24">
        <v>1</v>
      </c>
      <c r="M178" s="24">
        <v>1</v>
      </c>
      <c r="N178" s="24">
        <v>1</v>
      </c>
      <c r="O178" s="24">
        <v>1</v>
      </c>
      <c r="P178" s="24">
        <v>1</v>
      </c>
      <c r="Q178" s="24">
        <v>1</v>
      </c>
      <c r="R178" s="24">
        <v>1</v>
      </c>
      <c r="S178" s="24">
        <v>1</v>
      </c>
      <c r="T178" s="24">
        <v>1</v>
      </c>
      <c r="U178" s="24">
        <v>1</v>
      </c>
      <c r="V178" s="24">
        <v>1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B178" s="24">
        <v>1</v>
      </c>
      <c r="AC178" s="24">
        <v>1</v>
      </c>
      <c r="AD178" s="24">
        <v>1</v>
      </c>
      <c r="AE178" s="24">
        <v>1</v>
      </c>
      <c r="AF178" s="22">
        <v>0</v>
      </c>
      <c r="AG178" s="37">
        <v>0</v>
      </c>
    </row>
    <row r="179" spans="1:33" ht="18" x14ac:dyDescent="0.2">
      <c r="A179" s="68"/>
      <c r="B179" s="25" t="s">
        <v>15</v>
      </c>
      <c r="C179" s="24" t="s">
        <v>66</v>
      </c>
      <c r="D179" s="24">
        <v>1</v>
      </c>
      <c r="E179" s="24"/>
      <c r="F179" s="24">
        <v>1</v>
      </c>
      <c r="G179" s="24">
        <v>1</v>
      </c>
      <c r="H179" s="24">
        <v>1</v>
      </c>
      <c r="I179" s="24">
        <v>1</v>
      </c>
      <c r="J179" s="24">
        <v>1</v>
      </c>
      <c r="K179" s="24">
        <v>1</v>
      </c>
      <c r="L179" s="24">
        <v>1</v>
      </c>
      <c r="M179" s="24">
        <v>1</v>
      </c>
      <c r="N179" s="24">
        <v>1</v>
      </c>
      <c r="O179" s="24">
        <v>1</v>
      </c>
      <c r="P179" s="24">
        <v>1</v>
      </c>
      <c r="Q179" s="24">
        <v>1</v>
      </c>
      <c r="R179" s="24">
        <v>1</v>
      </c>
      <c r="S179" s="24">
        <v>1</v>
      </c>
      <c r="T179" s="24">
        <v>1</v>
      </c>
      <c r="U179" s="24">
        <v>1</v>
      </c>
      <c r="V179" s="24">
        <v>1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B179" s="24">
        <v>1</v>
      </c>
      <c r="AC179" s="24">
        <v>1</v>
      </c>
      <c r="AD179" s="24">
        <v>1</v>
      </c>
      <c r="AE179" s="24">
        <v>1</v>
      </c>
      <c r="AF179" s="22">
        <v>0</v>
      </c>
      <c r="AG179" s="37">
        <v>0</v>
      </c>
    </row>
    <row r="180" spans="1:33" ht="18" x14ac:dyDescent="0.2">
      <c r="A180" s="68"/>
      <c r="B180" s="25" t="s">
        <v>38</v>
      </c>
      <c r="C180" s="24" t="s">
        <v>67</v>
      </c>
      <c r="D180" s="24">
        <v>2</v>
      </c>
      <c r="E180" s="24"/>
      <c r="F180" s="24">
        <v>2</v>
      </c>
      <c r="G180" s="24">
        <v>2</v>
      </c>
      <c r="H180" s="24">
        <v>2</v>
      </c>
      <c r="I180" s="24">
        <v>2</v>
      </c>
      <c r="J180" s="24">
        <v>2</v>
      </c>
      <c r="K180" s="24">
        <v>2</v>
      </c>
      <c r="L180" s="24">
        <v>2</v>
      </c>
      <c r="M180" s="24">
        <v>2</v>
      </c>
      <c r="N180" s="24">
        <v>2</v>
      </c>
      <c r="O180" s="24">
        <v>2</v>
      </c>
      <c r="P180" s="24">
        <v>2</v>
      </c>
      <c r="Q180" s="24">
        <v>2</v>
      </c>
      <c r="R180" s="24">
        <v>2</v>
      </c>
      <c r="S180" s="24">
        <v>2</v>
      </c>
      <c r="T180" s="24">
        <v>2</v>
      </c>
      <c r="U180" s="24">
        <v>2</v>
      </c>
      <c r="V180" s="24">
        <v>2</v>
      </c>
      <c r="W180" s="24">
        <v>2</v>
      </c>
      <c r="X180" s="24">
        <v>2</v>
      </c>
      <c r="Y180" s="24">
        <v>2</v>
      </c>
      <c r="Z180" s="24">
        <v>2</v>
      </c>
      <c r="AA180" s="24">
        <v>2</v>
      </c>
      <c r="AB180" s="24">
        <v>2</v>
      </c>
      <c r="AC180" s="24">
        <v>2</v>
      </c>
      <c r="AD180" s="24">
        <v>2</v>
      </c>
      <c r="AE180" s="24">
        <v>2</v>
      </c>
      <c r="AF180" s="22">
        <v>0</v>
      </c>
      <c r="AG180" s="37">
        <v>0</v>
      </c>
    </row>
    <row r="181" spans="1:33" ht="18" x14ac:dyDescent="0.2">
      <c r="A181" s="68"/>
      <c r="B181" s="25" t="s">
        <v>44</v>
      </c>
      <c r="C181" s="24" t="s">
        <v>66</v>
      </c>
      <c r="D181" s="24">
        <v>1</v>
      </c>
      <c r="E181" s="24"/>
      <c r="F181" s="24">
        <v>1</v>
      </c>
      <c r="G181" s="24">
        <v>1</v>
      </c>
      <c r="H181" s="24">
        <v>1</v>
      </c>
      <c r="I181" s="24">
        <v>1</v>
      </c>
      <c r="J181" s="24">
        <v>1</v>
      </c>
      <c r="K181" s="24">
        <v>1</v>
      </c>
      <c r="L181" s="24">
        <v>1</v>
      </c>
      <c r="M181" s="24">
        <v>1</v>
      </c>
      <c r="N181" s="24">
        <v>1</v>
      </c>
      <c r="O181" s="24">
        <v>1</v>
      </c>
      <c r="P181" s="24">
        <v>1</v>
      </c>
      <c r="Q181" s="24">
        <v>1</v>
      </c>
      <c r="R181" s="24">
        <v>1</v>
      </c>
      <c r="S181" s="24">
        <v>1</v>
      </c>
      <c r="T181" s="24">
        <v>1</v>
      </c>
      <c r="U181" s="24">
        <v>1</v>
      </c>
      <c r="V181" s="24">
        <v>1</v>
      </c>
      <c r="W181" s="24">
        <v>1</v>
      </c>
      <c r="X181" s="24">
        <v>1</v>
      </c>
      <c r="Y181" s="24">
        <v>1</v>
      </c>
      <c r="Z181" s="24">
        <v>1</v>
      </c>
      <c r="AA181" s="24">
        <v>1</v>
      </c>
      <c r="AB181" s="24">
        <v>1</v>
      </c>
      <c r="AC181" s="24">
        <v>1</v>
      </c>
      <c r="AD181" s="24">
        <v>1</v>
      </c>
      <c r="AE181" s="24">
        <v>1</v>
      </c>
      <c r="AF181" s="22">
        <v>0</v>
      </c>
      <c r="AG181" s="37">
        <v>0</v>
      </c>
    </row>
    <row r="182" spans="1:33" ht="18" x14ac:dyDescent="0.2">
      <c r="A182" s="68"/>
      <c r="B182" s="25" t="s">
        <v>16</v>
      </c>
      <c r="C182" s="24" t="s">
        <v>67</v>
      </c>
      <c r="D182" s="24">
        <v>1</v>
      </c>
      <c r="E182" s="24"/>
      <c r="F182" s="24">
        <v>1</v>
      </c>
      <c r="G182" s="24">
        <v>1</v>
      </c>
      <c r="H182" s="24">
        <v>1</v>
      </c>
      <c r="I182" s="24">
        <v>1</v>
      </c>
      <c r="J182" s="24">
        <v>1</v>
      </c>
      <c r="K182" s="24">
        <v>1</v>
      </c>
      <c r="L182" s="24">
        <v>1</v>
      </c>
      <c r="M182" s="24">
        <v>1</v>
      </c>
      <c r="N182" s="24">
        <v>1</v>
      </c>
      <c r="O182" s="24">
        <v>1</v>
      </c>
      <c r="P182" s="24">
        <v>1</v>
      </c>
      <c r="Q182" s="24">
        <v>1</v>
      </c>
      <c r="R182" s="24">
        <v>1</v>
      </c>
      <c r="S182" s="24">
        <v>1</v>
      </c>
      <c r="T182" s="24">
        <v>1</v>
      </c>
      <c r="U182" s="24">
        <v>1</v>
      </c>
      <c r="V182" s="24">
        <v>1</v>
      </c>
      <c r="W182" s="24">
        <v>1</v>
      </c>
      <c r="X182" s="24">
        <v>1</v>
      </c>
      <c r="Y182" s="24">
        <v>1</v>
      </c>
      <c r="Z182" s="24">
        <v>1</v>
      </c>
      <c r="AA182" s="24">
        <v>1</v>
      </c>
      <c r="AB182" s="24">
        <v>1</v>
      </c>
      <c r="AC182" s="24">
        <v>1</v>
      </c>
      <c r="AD182" s="24">
        <v>1</v>
      </c>
      <c r="AE182" s="24">
        <v>1</v>
      </c>
      <c r="AF182" s="22">
        <v>0</v>
      </c>
      <c r="AG182" s="37">
        <v>0</v>
      </c>
    </row>
    <row r="183" spans="1:33" ht="18" x14ac:dyDescent="0.2">
      <c r="A183" s="68"/>
      <c r="B183" s="25" t="s">
        <v>22</v>
      </c>
      <c r="C183" s="24" t="s">
        <v>67</v>
      </c>
      <c r="D183" s="24">
        <v>2</v>
      </c>
      <c r="E183" s="24"/>
      <c r="F183" s="24">
        <v>2</v>
      </c>
      <c r="G183" s="24">
        <v>2</v>
      </c>
      <c r="H183" s="24">
        <v>2</v>
      </c>
      <c r="I183" s="24">
        <v>2</v>
      </c>
      <c r="J183" s="24">
        <v>2</v>
      </c>
      <c r="K183" s="24">
        <v>2</v>
      </c>
      <c r="L183" s="24">
        <v>2</v>
      </c>
      <c r="M183" s="24">
        <v>2</v>
      </c>
      <c r="N183" s="24">
        <v>2</v>
      </c>
      <c r="O183" s="24">
        <v>2</v>
      </c>
      <c r="P183" s="24">
        <v>2</v>
      </c>
      <c r="Q183" s="24">
        <v>2</v>
      </c>
      <c r="R183" s="24">
        <v>2</v>
      </c>
      <c r="S183" s="24">
        <v>2</v>
      </c>
      <c r="T183" s="24">
        <v>2</v>
      </c>
      <c r="U183" s="24">
        <v>2</v>
      </c>
      <c r="V183" s="24">
        <v>2</v>
      </c>
      <c r="W183" s="24">
        <v>2</v>
      </c>
      <c r="X183" s="24">
        <v>2</v>
      </c>
      <c r="Y183" s="24">
        <v>2</v>
      </c>
      <c r="Z183" s="24">
        <v>2</v>
      </c>
      <c r="AA183" s="24">
        <v>2</v>
      </c>
      <c r="AB183" s="24">
        <v>2</v>
      </c>
      <c r="AC183" s="24">
        <v>2</v>
      </c>
      <c r="AD183" s="24">
        <v>2</v>
      </c>
      <c r="AE183" s="24">
        <v>2</v>
      </c>
      <c r="AF183" s="22">
        <v>0</v>
      </c>
      <c r="AG183" s="37">
        <v>0</v>
      </c>
    </row>
    <row r="184" spans="1:33" ht="18" x14ac:dyDescent="0.2">
      <c r="A184" s="68"/>
      <c r="B184" s="25" t="s">
        <v>59</v>
      </c>
      <c r="C184" s="24" t="s">
        <v>66</v>
      </c>
      <c r="D184" s="24">
        <v>1</v>
      </c>
      <c r="E184" s="24"/>
      <c r="F184" s="24">
        <v>1</v>
      </c>
      <c r="G184" s="24">
        <v>1</v>
      </c>
      <c r="H184" s="24">
        <v>1</v>
      </c>
      <c r="I184" s="24">
        <v>1</v>
      </c>
      <c r="J184" s="24">
        <v>1</v>
      </c>
      <c r="K184" s="24">
        <v>1</v>
      </c>
      <c r="L184" s="24">
        <v>1</v>
      </c>
      <c r="M184" s="24">
        <v>1</v>
      </c>
      <c r="N184" s="24">
        <v>1</v>
      </c>
      <c r="O184" s="24">
        <v>1</v>
      </c>
      <c r="P184" s="24">
        <v>1</v>
      </c>
      <c r="Q184" s="24">
        <v>1</v>
      </c>
      <c r="R184" s="24">
        <v>1</v>
      </c>
      <c r="S184" s="24">
        <v>1</v>
      </c>
      <c r="T184" s="24">
        <v>1</v>
      </c>
      <c r="U184" s="24">
        <v>1</v>
      </c>
      <c r="V184" s="24">
        <v>1</v>
      </c>
      <c r="W184" s="24">
        <v>1</v>
      </c>
      <c r="X184" s="24">
        <v>1</v>
      </c>
      <c r="Y184" s="24">
        <v>1</v>
      </c>
      <c r="Z184" s="24">
        <v>1</v>
      </c>
      <c r="AA184" s="24">
        <v>1</v>
      </c>
      <c r="AB184" s="24">
        <v>1</v>
      </c>
      <c r="AC184" s="24">
        <v>1</v>
      </c>
      <c r="AD184" s="24">
        <v>1</v>
      </c>
      <c r="AE184" s="24">
        <v>1</v>
      </c>
      <c r="AF184" s="22">
        <v>0</v>
      </c>
      <c r="AG184" s="37">
        <v>0</v>
      </c>
    </row>
    <row r="185" spans="1:33" ht="18" x14ac:dyDescent="0.2">
      <c r="A185" s="69"/>
      <c r="B185" s="25" t="s">
        <v>60</v>
      </c>
      <c r="C185" s="24" t="s">
        <v>67</v>
      </c>
      <c r="D185" s="24">
        <v>1</v>
      </c>
      <c r="E185" s="24"/>
      <c r="F185" s="24">
        <v>1</v>
      </c>
      <c r="G185" s="24">
        <v>1</v>
      </c>
      <c r="H185" s="24">
        <v>1</v>
      </c>
      <c r="I185" s="24">
        <v>1</v>
      </c>
      <c r="J185" s="24">
        <v>1</v>
      </c>
      <c r="K185" s="24">
        <v>1</v>
      </c>
      <c r="L185" s="24">
        <v>1</v>
      </c>
      <c r="M185" s="24">
        <v>1</v>
      </c>
      <c r="N185" s="24">
        <v>1</v>
      </c>
      <c r="O185" s="24">
        <v>1</v>
      </c>
      <c r="P185" s="24">
        <v>1</v>
      </c>
      <c r="Q185" s="24">
        <v>1</v>
      </c>
      <c r="R185" s="24">
        <v>1</v>
      </c>
      <c r="S185" s="24">
        <v>1</v>
      </c>
      <c r="T185" s="24">
        <v>1</v>
      </c>
      <c r="U185" s="24">
        <v>1</v>
      </c>
      <c r="V185" s="24">
        <v>1</v>
      </c>
      <c r="W185" s="24">
        <v>1</v>
      </c>
      <c r="X185" s="24">
        <v>1</v>
      </c>
      <c r="Y185" s="24">
        <v>1</v>
      </c>
      <c r="Z185" s="24">
        <v>1</v>
      </c>
      <c r="AA185" s="24">
        <v>1</v>
      </c>
      <c r="AB185" s="24">
        <v>1</v>
      </c>
      <c r="AC185" s="24">
        <v>1</v>
      </c>
      <c r="AD185" s="24">
        <v>1</v>
      </c>
      <c r="AE185" s="24">
        <v>1</v>
      </c>
      <c r="AF185" s="22">
        <v>0</v>
      </c>
      <c r="AG185" s="37">
        <v>0</v>
      </c>
    </row>
    <row r="186" spans="1:33" ht="18" x14ac:dyDescent="0.2">
      <c r="A186" s="67"/>
      <c r="B186" s="29" t="s">
        <v>62</v>
      </c>
      <c r="C186" s="39" t="s">
        <v>65</v>
      </c>
      <c r="D186" s="39">
        <v>3</v>
      </c>
      <c r="E186" s="39"/>
      <c r="F186" s="39">
        <v>3</v>
      </c>
      <c r="G186" s="39">
        <v>3</v>
      </c>
      <c r="H186" s="39">
        <v>3</v>
      </c>
      <c r="I186" s="39">
        <v>3</v>
      </c>
      <c r="J186" s="39">
        <v>3</v>
      </c>
      <c r="K186" s="39">
        <v>3</v>
      </c>
      <c r="L186" s="39">
        <v>3</v>
      </c>
      <c r="M186" s="39">
        <v>3</v>
      </c>
      <c r="N186" s="39">
        <v>3</v>
      </c>
      <c r="O186" s="39">
        <v>3</v>
      </c>
      <c r="P186" s="39">
        <v>3</v>
      </c>
      <c r="Q186" s="39">
        <v>3</v>
      </c>
      <c r="R186" s="39">
        <v>3</v>
      </c>
      <c r="S186" s="39">
        <v>3</v>
      </c>
      <c r="T186" s="39">
        <v>3</v>
      </c>
      <c r="U186" s="39">
        <v>3</v>
      </c>
      <c r="V186" s="39">
        <v>3</v>
      </c>
      <c r="W186" s="39">
        <v>3</v>
      </c>
      <c r="X186" s="39">
        <v>3</v>
      </c>
      <c r="Y186" s="39">
        <v>3</v>
      </c>
      <c r="Z186" s="39">
        <v>3</v>
      </c>
      <c r="AA186" s="39">
        <v>3</v>
      </c>
      <c r="AB186" s="39">
        <v>3</v>
      </c>
      <c r="AC186" s="39">
        <v>3</v>
      </c>
      <c r="AD186" s="39">
        <v>3</v>
      </c>
      <c r="AE186" s="39">
        <v>3</v>
      </c>
      <c r="AF186" s="39">
        <v>3</v>
      </c>
      <c r="AG186" s="22">
        <v>0</v>
      </c>
    </row>
    <row r="187" spans="1:33" ht="18" x14ac:dyDescent="0.2">
      <c r="A187" s="69"/>
      <c r="B187" s="29" t="s">
        <v>63</v>
      </c>
      <c r="C187" s="39" t="s">
        <v>65</v>
      </c>
      <c r="D187" s="39">
        <v>2</v>
      </c>
      <c r="E187" s="39"/>
      <c r="F187" s="39">
        <v>2</v>
      </c>
      <c r="G187" s="39">
        <v>2</v>
      </c>
      <c r="H187" s="39">
        <v>2</v>
      </c>
      <c r="I187" s="39">
        <v>2</v>
      </c>
      <c r="J187" s="39">
        <v>2</v>
      </c>
      <c r="K187" s="39">
        <v>2</v>
      </c>
      <c r="L187" s="39">
        <v>2</v>
      </c>
      <c r="M187" s="39">
        <v>2</v>
      </c>
      <c r="N187" s="39">
        <v>2</v>
      </c>
      <c r="O187" s="39">
        <v>2</v>
      </c>
      <c r="P187" s="39">
        <v>2</v>
      </c>
      <c r="Q187" s="39">
        <v>2</v>
      </c>
      <c r="R187" s="39">
        <v>2</v>
      </c>
      <c r="S187" s="39">
        <v>2</v>
      </c>
      <c r="T187" s="39">
        <v>2</v>
      </c>
      <c r="U187" s="39">
        <v>2</v>
      </c>
      <c r="V187" s="39">
        <v>2</v>
      </c>
      <c r="W187" s="39">
        <v>2</v>
      </c>
      <c r="X187" s="39">
        <v>2</v>
      </c>
      <c r="Y187" s="39">
        <v>2</v>
      </c>
      <c r="Z187" s="39">
        <v>2</v>
      </c>
      <c r="AA187" s="39">
        <v>2</v>
      </c>
      <c r="AB187" s="39">
        <v>2</v>
      </c>
      <c r="AC187" s="39">
        <v>2</v>
      </c>
      <c r="AD187" s="39">
        <v>2</v>
      </c>
      <c r="AE187" s="39">
        <v>2</v>
      </c>
      <c r="AF187" s="39">
        <v>2</v>
      </c>
      <c r="AG187" s="22">
        <v>0</v>
      </c>
    </row>
    <row r="188" spans="1:33" ht="17" x14ac:dyDescent="0.2">
      <c r="A188" s="70" t="s">
        <v>8</v>
      </c>
      <c r="B188" s="71"/>
      <c r="C188" s="72"/>
      <c r="D188" s="37">
        <f>SUM(D114:D187)</f>
        <v>194</v>
      </c>
      <c r="E188" s="37"/>
      <c r="F188" s="37">
        <f t="shared" ref="F188:AG188" si="1">SUM(F114:F187)</f>
        <v>189</v>
      </c>
      <c r="G188" s="37">
        <f t="shared" si="1"/>
        <v>189</v>
      </c>
      <c r="H188" s="37">
        <f t="shared" si="1"/>
        <v>182</v>
      </c>
      <c r="I188" s="37">
        <f t="shared" si="1"/>
        <v>180</v>
      </c>
      <c r="J188" s="37">
        <f t="shared" si="1"/>
        <v>168</v>
      </c>
      <c r="K188" s="37">
        <f t="shared" si="1"/>
        <v>166</v>
      </c>
      <c r="L188" s="37">
        <f t="shared" si="1"/>
        <v>157</v>
      </c>
      <c r="M188" s="37">
        <f t="shared" si="1"/>
        <v>153</v>
      </c>
      <c r="N188" s="37">
        <f t="shared" si="1"/>
        <v>147</v>
      </c>
      <c r="O188" s="37">
        <f t="shared" si="1"/>
        <v>139</v>
      </c>
      <c r="P188" s="37">
        <f t="shared" si="1"/>
        <v>127</v>
      </c>
      <c r="Q188" s="37">
        <f t="shared" si="1"/>
        <v>115</v>
      </c>
      <c r="R188" s="37">
        <f t="shared" si="1"/>
        <v>111</v>
      </c>
      <c r="S188" s="37">
        <f t="shared" si="1"/>
        <v>103</v>
      </c>
      <c r="T188" s="37">
        <f t="shared" si="1"/>
        <v>91</v>
      </c>
      <c r="U188" s="37">
        <f t="shared" si="1"/>
        <v>87</v>
      </c>
      <c r="V188" s="37">
        <f t="shared" si="1"/>
        <v>85</v>
      </c>
      <c r="W188" s="37">
        <f t="shared" si="1"/>
        <v>79</v>
      </c>
      <c r="X188" s="37">
        <f t="shared" si="1"/>
        <v>75</v>
      </c>
      <c r="Y188" s="37">
        <f t="shared" si="1"/>
        <v>71</v>
      </c>
      <c r="Z188" s="37">
        <f t="shared" si="1"/>
        <v>64</v>
      </c>
      <c r="AA188" s="37">
        <f t="shared" si="1"/>
        <v>53</v>
      </c>
      <c r="AB188" s="37">
        <f t="shared" si="1"/>
        <v>51</v>
      </c>
      <c r="AC188" s="37">
        <f t="shared" si="1"/>
        <v>40</v>
      </c>
      <c r="AD188" s="37">
        <f t="shared" si="1"/>
        <v>37</v>
      </c>
      <c r="AE188" s="37">
        <f t="shared" si="1"/>
        <v>19</v>
      </c>
      <c r="AF188" s="37">
        <f t="shared" si="1"/>
        <v>6</v>
      </c>
      <c r="AG188" s="37">
        <f t="shared" si="1"/>
        <v>0</v>
      </c>
    </row>
    <row r="192" spans="1:33" ht="17" x14ac:dyDescent="0.2">
      <c r="E192" s="64" t="s">
        <v>52</v>
      </c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6"/>
    </row>
    <row r="193" spans="5:33" ht="71" x14ac:dyDescent="0.2">
      <c r="E193" s="33"/>
      <c r="F193" s="43">
        <v>45941</v>
      </c>
      <c r="G193" s="44">
        <v>45942</v>
      </c>
      <c r="H193" s="44">
        <v>45943</v>
      </c>
      <c r="I193" s="44">
        <v>45944</v>
      </c>
      <c r="J193" s="44">
        <v>45945</v>
      </c>
      <c r="K193" s="44">
        <v>45946</v>
      </c>
      <c r="L193" s="44">
        <v>45947</v>
      </c>
      <c r="M193" s="44">
        <v>45948</v>
      </c>
      <c r="N193" s="44">
        <v>45949</v>
      </c>
      <c r="O193" s="44">
        <v>45950</v>
      </c>
      <c r="P193" s="44">
        <v>45951</v>
      </c>
      <c r="Q193" s="44">
        <v>45952</v>
      </c>
      <c r="R193" s="44">
        <v>45953</v>
      </c>
      <c r="S193" s="44">
        <v>45954</v>
      </c>
      <c r="T193" s="44">
        <v>45955</v>
      </c>
      <c r="U193" s="44">
        <v>45956</v>
      </c>
      <c r="V193" s="44">
        <v>45957</v>
      </c>
      <c r="W193" s="44">
        <v>45958</v>
      </c>
      <c r="X193" s="44">
        <v>45959</v>
      </c>
      <c r="Y193" s="44">
        <v>45960</v>
      </c>
      <c r="Z193" s="44">
        <v>45961</v>
      </c>
      <c r="AA193" s="44">
        <v>45962</v>
      </c>
      <c r="AB193" s="44">
        <v>45963</v>
      </c>
      <c r="AC193" s="44">
        <v>45964</v>
      </c>
      <c r="AD193" s="44">
        <v>45965</v>
      </c>
      <c r="AE193" s="44">
        <v>45966</v>
      </c>
      <c r="AF193" s="44">
        <v>45967</v>
      </c>
      <c r="AG193" s="44">
        <v>45968</v>
      </c>
    </row>
    <row r="194" spans="5:33" ht="17" x14ac:dyDescent="0.2">
      <c r="E194" s="9" t="s">
        <v>7</v>
      </c>
      <c r="F194" s="9">
        <v>189</v>
      </c>
      <c r="G194" s="9">
        <v>189</v>
      </c>
      <c r="H194" s="9">
        <v>185</v>
      </c>
      <c r="I194" s="9">
        <v>180</v>
      </c>
      <c r="J194" s="9">
        <v>168</v>
      </c>
      <c r="K194" s="9">
        <v>166</v>
      </c>
      <c r="L194" s="9">
        <v>156</v>
      </c>
      <c r="M194" s="9">
        <v>153</v>
      </c>
      <c r="N194" s="9">
        <v>147</v>
      </c>
      <c r="O194" s="9">
        <v>139</v>
      </c>
      <c r="P194" s="9">
        <v>127</v>
      </c>
      <c r="Q194" s="9">
        <v>115</v>
      </c>
      <c r="R194" s="9">
        <v>111</v>
      </c>
      <c r="S194" s="9">
        <v>101</v>
      </c>
      <c r="T194" s="9">
        <v>91</v>
      </c>
      <c r="U194" s="9">
        <v>87</v>
      </c>
      <c r="V194" s="9">
        <v>85</v>
      </c>
      <c r="W194" s="9">
        <v>79</v>
      </c>
      <c r="X194" s="9">
        <v>75</v>
      </c>
      <c r="Y194" s="9">
        <v>71</v>
      </c>
      <c r="Z194" s="9">
        <v>63</v>
      </c>
      <c r="AA194" s="9">
        <v>53</v>
      </c>
      <c r="AB194" s="9">
        <v>51</v>
      </c>
      <c r="AC194" s="9">
        <v>39</v>
      </c>
      <c r="AD194" s="9">
        <v>37</v>
      </c>
      <c r="AE194" s="9">
        <v>17</v>
      </c>
      <c r="AF194" s="9">
        <v>5</v>
      </c>
      <c r="AG194" s="9">
        <v>0</v>
      </c>
    </row>
    <row r="195" spans="5:33" ht="17" x14ac:dyDescent="0.2">
      <c r="E195" s="9" t="s">
        <v>8</v>
      </c>
      <c r="F195" s="9">
        <v>189</v>
      </c>
      <c r="G195" s="9">
        <v>189</v>
      </c>
      <c r="H195" s="9">
        <v>182</v>
      </c>
      <c r="I195" s="9">
        <v>180</v>
      </c>
      <c r="J195" s="9">
        <v>168</v>
      </c>
      <c r="K195" s="9">
        <v>166</v>
      </c>
      <c r="L195" s="9">
        <v>157</v>
      </c>
      <c r="M195" s="9">
        <v>153</v>
      </c>
      <c r="N195" s="9">
        <v>147</v>
      </c>
      <c r="O195" s="9">
        <v>139</v>
      </c>
      <c r="P195" s="9">
        <v>127</v>
      </c>
      <c r="Q195" s="9">
        <v>115</v>
      </c>
      <c r="R195" s="9">
        <v>111</v>
      </c>
      <c r="S195" s="9">
        <v>103</v>
      </c>
      <c r="T195" s="9">
        <v>91</v>
      </c>
      <c r="U195" s="9">
        <v>87</v>
      </c>
      <c r="V195" s="9">
        <v>85</v>
      </c>
      <c r="W195" s="9">
        <v>79</v>
      </c>
      <c r="X195" s="9">
        <v>75</v>
      </c>
      <c r="Y195" s="9">
        <v>71</v>
      </c>
      <c r="Z195" s="9">
        <v>64</v>
      </c>
      <c r="AA195" s="9">
        <v>53</v>
      </c>
      <c r="AB195" s="9">
        <v>51</v>
      </c>
      <c r="AC195" s="9">
        <v>40</v>
      </c>
      <c r="AD195" s="9">
        <v>37</v>
      </c>
      <c r="AE195" s="9">
        <v>19</v>
      </c>
      <c r="AF195" s="9">
        <v>6</v>
      </c>
      <c r="AG195" s="9">
        <v>0</v>
      </c>
    </row>
  </sheetData>
  <mergeCells count="41">
    <mergeCell ref="A92:C92"/>
    <mergeCell ref="A22:A33"/>
    <mergeCell ref="D14:E14"/>
    <mergeCell ref="A34:A44"/>
    <mergeCell ref="A45:A56"/>
    <mergeCell ref="A57:A67"/>
    <mergeCell ref="A68:A79"/>
    <mergeCell ref="A80:A89"/>
    <mergeCell ref="A90:A91"/>
    <mergeCell ref="A19:B19"/>
    <mergeCell ref="H14:I14"/>
    <mergeCell ref="A18:B18"/>
    <mergeCell ref="A20:B20"/>
    <mergeCell ref="A21:B21"/>
    <mergeCell ref="H13:I13"/>
    <mergeCell ref="B1:C1"/>
    <mergeCell ref="B2:C2"/>
    <mergeCell ref="B3:C3"/>
    <mergeCell ref="B4:C4"/>
    <mergeCell ref="B5:C5"/>
    <mergeCell ref="A9:E9"/>
    <mergeCell ref="D10:E10"/>
    <mergeCell ref="D11:E11"/>
    <mergeCell ref="D12:E12"/>
    <mergeCell ref="D13:E13"/>
    <mergeCell ref="H12:I12"/>
    <mergeCell ref="H11:I11"/>
    <mergeCell ref="H10:I10"/>
    <mergeCell ref="E192:AG192"/>
    <mergeCell ref="A130:A140"/>
    <mergeCell ref="A141:A152"/>
    <mergeCell ref="A153:A163"/>
    <mergeCell ref="A164:A175"/>
    <mergeCell ref="A176:A185"/>
    <mergeCell ref="A186:A187"/>
    <mergeCell ref="A188:C188"/>
    <mergeCell ref="A114:B114"/>
    <mergeCell ref="A115:B115"/>
    <mergeCell ref="A116:B116"/>
    <mergeCell ref="A117:B117"/>
    <mergeCell ref="A118:A129"/>
  </mergeCells>
  <phoneticPr fontId="9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52AA-916C-384F-B518-72D01BA9B338}">
  <dimension ref="A1:AC210"/>
  <sheetViews>
    <sheetView tabSelected="1" topLeftCell="D166" zoomScale="140" zoomScaleNormal="140" workbookViewId="0">
      <selection activeCell="Q214" sqref="Q214"/>
    </sheetView>
  </sheetViews>
  <sheetFormatPr baseColWidth="10" defaultRowHeight="16" x14ac:dyDescent="0.2"/>
  <cols>
    <col min="1" max="1" width="17.6640625" style="46" customWidth="1"/>
    <col min="2" max="2" width="46.83203125" style="46" customWidth="1"/>
    <col min="3" max="3" width="65.1640625" style="46" customWidth="1"/>
    <col min="4" max="16384" width="10.83203125" style="46"/>
  </cols>
  <sheetData>
    <row r="1" spans="1:9" ht="18" x14ac:dyDescent="0.2">
      <c r="A1" s="2" t="s">
        <v>0</v>
      </c>
      <c r="B1" s="84" t="s">
        <v>57</v>
      </c>
      <c r="C1" s="85"/>
    </row>
    <row r="2" spans="1:9" ht="18" x14ac:dyDescent="0.2">
      <c r="A2" s="3" t="s">
        <v>1</v>
      </c>
      <c r="B2" s="86" t="s">
        <v>18</v>
      </c>
      <c r="C2" s="87"/>
    </row>
    <row r="3" spans="1:9" ht="36" x14ac:dyDescent="0.2">
      <c r="A3" s="3" t="s">
        <v>2</v>
      </c>
      <c r="B3" s="88" t="s">
        <v>58</v>
      </c>
      <c r="C3" s="88"/>
    </row>
    <row r="4" spans="1:9" ht="18" x14ac:dyDescent="0.2">
      <c r="A4" s="3" t="s">
        <v>3</v>
      </c>
      <c r="B4" s="89">
        <v>45969</v>
      </c>
      <c r="C4" s="90"/>
    </row>
    <row r="5" spans="1:9" ht="18" x14ac:dyDescent="0.2">
      <c r="A5" s="3" t="s">
        <v>4</v>
      </c>
      <c r="B5" s="89">
        <v>45992</v>
      </c>
      <c r="C5" s="90"/>
    </row>
    <row r="8" spans="1:9" ht="17" x14ac:dyDescent="0.2">
      <c r="A8" s="78" t="s">
        <v>47</v>
      </c>
      <c r="B8" s="79"/>
      <c r="C8" s="79"/>
      <c r="D8" s="79"/>
      <c r="E8" s="80"/>
    </row>
    <row r="9" spans="1:9" ht="18" x14ac:dyDescent="0.2">
      <c r="A9" s="4" t="s">
        <v>5</v>
      </c>
      <c r="B9" s="5" t="s">
        <v>6</v>
      </c>
      <c r="C9" s="6" t="s">
        <v>7</v>
      </c>
      <c r="D9" s="81" t="s">
        <v>8</v>
      </c>
      <c r="E9" s="82"/>
    </row>
    <row r="10" spans="1:9" ht="17" x14ac:dyDescent="0.2">
      <c r="A10" s="36">
        <v>1</v>
      </c>
      <c r="B10" s="8" t="s">
        <v>26</v>
      </c>
      <c r="C10" s="39">
        <f>SUM(E19,E20,E22,E24,E25,E27,E30,E32,E33,E37,E42,E44,E46,E49,E50,E52,E54,E55,E59,E64,E66,E69,E73,E74,E77,E78,E81,E84,E86,E88,E89,E28,E48)</f>
        <v>92</v>
      </c>
      <c r="D10" s="83">
        <f>SUM(D96,D97,D99,D101,D102,D104,D105,D107,D109,D110,D114,D119,D121,D123,D125,D126,D127,D129,D131,D132,D136,D141,D143,D146,D150,D151,D154,D155,D158,D161,D163,D165,D166)</f>
        <v>90</v>
      </c>
      <c r="E10" s="83"/>
      <c r="G10" s="18"/>
      <c r="H10" s="63" t="s">
        <v>27</v>
      </c>
      <c r="I10" s="93"/>
    </row>
    <row r="11" spans="1:9" ht="17" x14ac:dyDescent="0.2">
      <c r="A11" s="36">
        <v>2</v>
      </c>
      <c r="B11" s="8" t="s">
        <v>54</v>
      </c>
      <c r="C11" s="39">
        <f>SUM(E19,E20,E22,E23,E25,E26,E28,E30,E31,E33,E35,E40,E43,E44,E45,E50,E52,E53,E55,E57,E62,E65,E66,E68,E71,E77,E79,E82,E84,E88,E89,E87)</f>
        <v>86</v>
      </c>
      <c r="D11" s="83">
        <f>SUM(D96,D97,D99,D100,D102,D103,D105,D107,D110,D112,D117,D120,D122,D127,D129,D130,D132,D134,D139,D142,D143,D145,D148,D154,D156,D159,D161,D164,D165,D166,D121,D108)</f>
        <v>84</v>
      </c>
      <c r="E11" s="83"/>
      <c r="G11" s="26"/>
      <c r="H11" s="63" t="s">
        <v>28</v>
      </c>
      <c r="I11" s="93"/>
    </row>
    <row r="12" spans="1:9" ht="17" x14ac:dyDescent="0.2">
      <c r="A12" s="36">
        <v>3</v>
      </c>
      <c r="B12" s="8" t="s">
        <v>55</v>
      </c>
      <c r="C12" s="39">
        <f>SUM(E19,E22,E23,E26,E29,E32,E38,E39,E44,E45,E48,E54,E55,E60,E61,E63,E66,E70,E77,E79,E82,E86,E88,E89,E21,E33,E41,E51,E76,E83,E85,E47)</f>
        <v>92</v>
      </c>
      <c r="D12" s="83">
        <f>SUM(D96,D98,D99,D100,D103,D106,D109,D110,D115,D116,D118,D121,D125,D122,D128,D131,D132,D137,D138,D140,D143,D147,D153,D154,D156,D157,D159,D160,D162,D163,D165,D166,D124)</f>
        <v>89</v>
      </c>
      <c r="E12" s="83"/>
      <c r="G12" s="19"/>
      <c r="H12" s="63" t="s">
        <v>29</v>
      </c>
      <c r="I12" s="93"/>
    </row>
    <row r="13" spans="1:9" ht="17" x14ac:dyDescent="0.2">
      <c r="A13" s="36">
        <v>4</v>
      </c>
      <c r="B13" s="8" t="s">
        <v>56</v>
      </c>
      <c r="C13" s="39">
        <f>SUM(E19,E21,E22,E24,E27,E29,E31,E33,E34,E36,E44,E46,E49,E51,E53,E55,E56,E58,E66,E67,E72,E75,E77,E78,E80,E81,E83,E85,E87,E88,E89,E47)</f>
        <v>86</v>
      </c>
      <c r="D13" s="83">
        <f>SUM(D96,D98,D99,D101,D104,D106,D108,D110,D111,D113,D123,D124,D121,D126,D128,D130,D132,D133,D135,D143,D144,D149,D152,D154,D155,D157,D158,D160,D162,D164,D165,D166,)</f>
        <v>83</v>
      </c>
      <c r="E13" s="83"/>
      <c r="G13" s="20"/>
      <c r="H13" s="63" t="s">
        <v>30</v>
      </c>
      <c r="I13" s="93"/>
    </row>
    <row r="14" spans="1:9" ht="17" x14ac:dyDescent="0.2">
      <c r="A14" s="34"/>
      <c r="B14" s="35"/>
      <c r="C14" s="41"/>
      <c r="D14" s="99"/>
      <c r="E14" s="99"/>
      <c r="G14" s="21"/>
      <c r="H14" s="91" t="s">
        <v>31</v>
      </c>
      <c r="I14" s="91"/>
    </row>
    <row r="18" spans="1:29" ht="71" x14ac:dyDescent="0.2">
      <c r="A18" s="9" t="s">
        <v>10</v>
      </c>
      <c r="B18" s="10" t="s">
        <v>11</v>
      </c>
      <c r="C18" s="10" t="s">
        <v>32</v>
      </c>
      <c r="D18" s="10" t="s">
        <v>8</v>
      </c>
      <c r="E18" s="10" t="s">
        <v>7</v>
      </c>
      <c r="F18" s="27">
        <v>45969</v>
      </c>
      <c r="G18" s="27">
        <v>45970</v>
      </c>
      <c r="H18" s="27">
        <v>45971</v>
      </c>
      <c r="I18" s="27">
        <v>45972</v>
      </c>
      <c r="J18" s="27">
        <v>45973</v>
      </c>
      <c r="K18" s="27">
        <v>45974</v>
      </c>
      <c r="L18" s="27">
        <v>45975</v>
      </c>
      <c r="M18" s="27">
        <v>45976</v>
      </c>
      <c r="N18" s="27">
        <v>45977</v>
      </c>
      <c r="O18" s="27">
        <v>45978</v>
      </c>
      <c r="P18" s="27">
        <v>45979</v>
      </c>
      <c r="Q18" s="27">
        <v>45980</v>
      </c>
      <c r="R18" s="27">
        <v>45981</v>
      </c>
      <c r="S18" s="27">
        <v>45982</v>
      </c>
      <c r="T18" s="27">
        <v>45983</v>
      </c>
      <c r="U18" s="27">
        <v>45984</v>
      </c>
      <c r="V18" s="27">
        <v>45985</v>
      </c>
      <c r="W18" s="27">
        <v>45986</v>
      </c>
      <c r="X18" s="27">
        <v>45987</v>
      </c>
      <c r="Y18" s="27">
        <v>45988</v>
      </c>
      <c r="Z18" s="27">
        <v>45989</v>
      </c>
      <c r="AA18" s="27">
        <v>45990</v>
      </c>
      <c r="AB18" s="27">
        <v>45991</v>
      </c>
      <c r="AC18" s="27">
        <v>45992</v>
      </c>
    </row>
    <row r="19" spans="1:29" ht="18" x14ac:dyDescent="0.2">
      <c r="A19" s="95" t="s">
        <v>77</v>
      </c>
      <c r="B19" s="95"/>
      <c r="C19" s="24" t="s">
        <v>65</v>
      </c>
      <c r="D19" s="37"/>
      <c r="E19" s="38">
        <v>4</v>
      </c>
      <c r="F19" s="38">
        <v>4</v>
      </c>
      <c r="G19" s="22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</row>
    <row r="20" spans="1:29" ht="18" x14ac:dyDescent="0.2">
      <c r="A20" s="95" t="s">
        <v>78</v>
      </c>
      <c r="B20" s="95"/>
      <c r="C20" s="24" t="s">
        <v>66</v>
      </c>
      <c r="D20" s="37"/>
      <c r="E20" s="37">
        <v>4</v>
      </c>
      <c r="F20" s="37">
        <v>4</v>
      </c>
      <c r="G20" s="22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</row>
    <row r="21" spans="1:29" ht="18" x14ac:dyDescent="0.2">
      <c r="A21" s="96" t="s">
        <v>79</v>
      </c>
      <c r="B21" s="97"/>
      <c r="C21" s="24" t="s">
        <v>67</v>
      </c>
      <c r="D21" s="37"/>
      <c r="E21" s="37">
        <v>5</v>
      </c>
      <c r="F21" s="37">
        <v>5</v>
      </c>
      <c r="G21" s="22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</row>
    <row r="22" spans="1:29" ht="18" x14ac:dyDescent="0.2">
      <c r="A22" s="95" t="s">
        <v>80</v>
      </c>
      <c r="B22" s="98"/>
      <c r="C22" s="24" t="s">
        <v>65</v>
      </c>
      <c r="D22" s="37"/>
      <c r="E22" s="23">
        <v>8</v>
      </c>
      <c r="F22" s="23">
        <v>8</v>
      </c>
      <c r="G22" s="22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</row>
    <row r="23" spans="1:29" ht="18" x14ac:dyDescent="0.2">
      <c r="A23" s="94" t="s">
        <v>35</v>
      </c>
      <c r="B23" s="25" t="s">
        <v>48</v>
      </c>
      <c r="C23" s="24" t="s">
        <v>69</v>
      </c>
      <c r="D23" s="37"/>
      <c r="E23" s="24">
        <v>2</v>
      </c>
      <c r="F23" s="24">
        <v>2</v>
      </c>
      <c r="G23" s="24">
        <v>2</v>
      </c>
      <c r="H23" s="22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</row>
    <row r="24" spans="1:29" ht="18" x14ac:dyDescent="0.2">
      <c r="A24" s="94"/>
      <c r="B24" s="25" t="s">
        <v>20</v>
      </c>
      <c r="C24" s="24" t="s">
        <v>68</v>
      </c>
      <c r="D24" s="37"/>
      <c r="E24" s="24">
        <v>2</v>
      </c>
      <c r="F24" s="24">
        <v>2</v>
      </c>
      <c r="G24" s="24">
        <v>2</v>
      </c>
      <c r="H24" s="22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</row>
    <row r="25" spans="1:29" ht="18" x14ac:dyDescent="0.2">
      <c r="A25" s="94"/>
      <c r="B25" s="25" t="s">
        <v>19</v>
      </c>
      <c r="C25" s="24" t="s">
        <v>66</v>
      </c>
      <c r="D25" s="39"/>
      <c r="E25" s="24">
        <v>2</v>
      </c>
      <c r="F25" s="24">
        <v>2</v>
      </c>
      <c r="G25" s="24">
        <v>2</v>
      </c>
      <c r="H25" s="24">
        <v>2</v>
      </c>
      <c r="I25" s="22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</row>
    <row r="26" spans="1:29" ht="18" x14ac:dyDescent="0.2">
      <c r="A26" s="94"/>
      <c r="B26" s="25" t="s">
        <v>81</v>
      </c>
      <c r="C26" s="24" t="s">
        <v>69</v>
      </c>
      <c r="D26" s="39"/>
      <c r="E26" s="39">
        <v>1</v>
      </c>
      <c r="F26" s="39">
        <v>1</v>
      </c>
      <c r="G26" s="39">
        <v>1</v>
      </c>
      <c r="H26" s="39">
        <v>1</v>
      </c>
      <c r="I26" s="22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</row>
    <row r="27" spans="1:29" ht="18" x14ac:dyDescent="0.2">
      <c r="A27" s="94"/>
      <c r="B27" s="25" t="s">
        <v>82</v>
      </c>
      <c r="C27" s="24" t="s">
        <v>68</v>
      </c>
      <c r="D27" s="39"/>
      <c r="E27" s="24">
        <v>1</v>
      </c>
      <c r="F27" s="24">
        <v>1</v>
      </c>
      <c r="G27" s="24">
        <v>1</v>
      </c>
      <c r="H27" s="24">
        <v>1</v>
      </c>
      <c r="I27" s="22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</row>
    <row r="28" spans="1:29" ht="18" x14ac:dyDescent="0.2">
      <c r="A28" s="94"/>
      <c r="B28" s="25" t="s">
        <v>21</v>
      </c>
      <c r="C28" s="24" t="s">
        <v>66</v>
      </c>
      <c r="D28" s="39"/>
      <c r="E28" s="37">
        <v>1</v>
      </c>
      <c r="F28" s="37">
        <v>1</v>
      </c>
      <c r="G28" s="37">
        <v>1</v>
      </c>
      <c r="H28" s="37">
        <v>1</v>
      </c>
      <c r="I28" s="22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29" ht="18" x14ac:dyDescent="0.2">
      <c r="A29" s="94"/>
      <c r="B29" s="25" t="s">
        <v>49</v>
      </c>
      <c r="C29" s="24" t="s">
        <v>67</v>
      </c>
      <c r="D29" s="39"/>
      <c r="E29" s="37">
        <v>1</v>
      </c>
      <c r="F29" s="37">
        <v>1</v>
      </c>
      <c r="G29" s="37">
        <v>1</v>
      </c>
      <c r="H29" s="37">
        <v>1</v>
      </c>
      <c r="I29" s="37">
        <v>1</v>
      </c>
      <c r="J29" s="22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29" ht="18" x14ac:dyDescent="0.2">
      <c r="A30" s="94"/>
      <c r="B30" s="25" t="s">
        <v>83</v>
      </c>
      <c r="C30" s="24" t="s">
        <v>66</v>
      </c>
      <c r="D30" s="39"/>
      <c r="E30" s="37">
        <v>1</v>
      </c>
      <c r="F30" s="37">
        <v>1</v>
      </c>
      <c r="G30" s="37">
        <v>1</v>
      </c>
      <c r="H30" s="37">
        <v>1</v>
      </c>
      <c r="I30" s="37">
        <v>1</v>
      </c>
      <c r="J30" s="22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</row>
    <row r="31" spans="1:29" ht="18" x14ac:dyDescent="0.2">
      <c r="A31" s="94"/>
      <c r="B31" s="25" t="s">
        <v>23</v>
      </c>
      <c r="C31" s="24" t="s">
        <v>90</v>
      </c>
      <c r="D31" s="39"/>
      <c r="E31" s="37">
        <v>2</v>
      </c>
      <c r="F31" s="37">
        <v>2</v>
      </c>
      <c r="G31" s="37">
        <v>2</v>
      </c>
      <c r="H31" s="37">
        <v>2</v>
      </c>
      <c r="I31" s="37">
        <v>2</v>
      </c>
      <c r="J31" s="22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</row>
    <row r="32" spans="1:29" ht="18" x14ac:dyDescent="0.2">
      <c r="A32" s="94"/>
      <c r="B32" s="25" t="s">
        <v>84</v>
      </c>
      <c r="C32" s="24" t="s">
        <v>91</v>
      </c>
      <c r="D32" s="39"/>
      <c r="E32" s="37">
        <v>2</v>
      </c>
      <c r="F32" s="37">
        <v>2</v>
      </c>
      <c r="G32" s="37">
        <v>2</v>
      </c>
      <c r="H32" s="37">
        <v>2</v>
      </c>
      <c r="I32" s="37">
        <v>2</v>
      </c>
      <c r="J32" s="37">
        <v>2</v>
      </c>
      <c r="K32" s="22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</row>
    <row r="33" spans="1:29" ht="18" x14ac:dyDescent="0.2">
      <c r="A33" s="94"/>
      <c r="B33" s="25" t="s">
        <v>85</v>
      </c>
      <c r="C33" s="24" t="s">
        <v>65</v>
      </c>
      <c r="D33" s="39"/>
      <c r="E33" s="37">
        <v>2</v>
      </c>
      <c r="F33" s="37">
        <v>2</v>
      </c>
      <c r="G33" s="37">
        <v>2</v>
      </c>
      <c r="H33" s="37">
        <v>2</v>
      </c>
      <c r="I33" s="37">
        <v>2</v>
      </c>
      <c r="J33" s="37">
        <v>2</v>
      </c>
      <c r="K33" s="22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ht="18" x14ac:dyDescent="0.2">
      <c r="A34" s="95" t="s">
        <v>45</v>
      </c>
      <c r="B34" s="25" t="s">
        <v>48</v>
      </c>
      <c r="C34" s="24" t="s">
        <v>71</v>
      </c>
      <c r="D34" s="37"/>
      <c r="E34" s="37">
        <v>2</v>
      </c>
      <c r="F34" s="37">
        <v>2</v>
      </c>
      <c r="G34" s="37">
        <v>2</v>
      </c>
      <c r="H34" s="37">
        <v>2</v>
      </c>
      <c r="I34" s="37">
        <v>2</v>
      </c>
      <c r="J34" s="37">
        <v>2</v>
      </c>
      <c r="K34" s="37">
        <v>2</v>
      </c>
      <c r="L34" s="22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ht="18" x14ac:dyDescent="0.2">
      <c r="A35" s="95"/>
      <c r="B35" s="25" t="s">
        <v>20</v>
      </c>
      <c r="C35" s="24" t="s">
        <v>76</v>
      </c>
      <c r="D35" s="37"/>
      <c r="E35" s="37">
        <v>2</v>
      </c>
      <c r="F35" s="37">
        <v>2</v>
      </c>
      <c r="G35" s="37">
        <v>2</v>
      </c>
      <c r="H35" s="37">
        <v>2</v>
      </c>
      <c r="I35" s="37">
        <v>2</v>
      </c>
      <c r="J35" s="37">
        <v>2</v>
      </c>
      <c r="K35" s="37">
        <v>2</v>
      </c>
      <c r="L35" s="22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</row>
    <row r="36" spans="1:29" ht="18" x14ac:dyDescent="0.2">
      <c r="A36" s="95"/>
      <c r="B36" s="25" t="s">
        <v>19</v>
      </c>
      <c r="C36" s="24" t="s">
        <v>71</v>
      </c>
      <c r="D36" s="37"/>
      <c r="E36" s="37">
        <v>1</v>
      </c>
      <c r="F36" s="37">
        <v>1</v>
      </c>
      <c r="G36" s="37">
        <v>1</v>
      </c>
      <c r="H36" s="37">
        <v>1</v>
      </c>
      <c r="I36" s="37">
        <v>1</v>
      </c>
      <c r="J36" s="37">
        <v>1</v>
      </c>
      <c r="K36" s="37">
        <v>1</v>
      </c>
      <c r="L36" s="22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</row>
    <row r="37" spans="1:29" ht="18" x14ac:dyDescent="0.2">
      <c r="A37" s="95"/>
      <c r="B37" s="25" t="s">
        <v>81</v>
      </c>
      <c r="C37" s="24" t="s">
        <v>70</v>
      </c>
      <c r="D37" s="37"/>
      <c r="E37" s="37">
        <v>1</v>
      </c>
      <c r="F37" s="37">
        <v>1</v>
      </c>
      <c r="G37" s="37">
        <v>1</v>
      </c>
      <c r="H37" s="37">
        <v>1</v>
      </c>
      <c r="I37" s="37">
        <v>1</v>
      </c>
      <c r="J37" s="37">
        <v>1</v>
      </c>
      <c r="K37" s="37">
        <v>1</v>
      </c>
      <c r="L37" s="22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ht="18" x14ac:dyDescent="0.2">
      <c r="A38" s="95"/>
      <c r="B38" s="25" t="s">
        <v>82</v>
      </c>
      <c r="C38" s="24" t="s">
        <v>74</v>
      </c>
      <c r="D38" s="37"/>
      <c r="E38" s="37">
        <v>1</v>
      </c>
      <c r="F38" s="37">
        <v>1</v>
      </c>
      <c r="G38" s="37">
        <v>1</v>
      </c>
      <c r="H38" s="37">
        <v>1</v>
      </c>
      <c r="I38" s="37">
        <v>1</v>
      </c>
      <c r="J38" s="37">
        <v>1</v>
      </c>
      <c r="K38" s="37">
        <v>1</v>
      </c>
      <c r="L38" s="22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</row>
    <row r="39" spans="1:29" ht="18" x14ac:dyDescent="0.2">
      <c r="A39" s="95"/>
      <c r="B39" s="25" t="s">
        <v>21</v>
      </c>
      <c r="C39" s="24" t="s">
        <v>74</v>
      </c>
      <c r="D39" s="37"/>
      <c r="E39" s="37">
        <v>2</v>
      </c>
      <c r="F39" s="37">
        <v>2</v>
      </c>
      <c r="G39" s="37">
        <v>2</v>
      </c>
      <c r="H39" s="37">
        <v>2</v>
      </c>
      <c r="I39" s="37">
        <v>2</v>
      </c>
      <c r="J39" s="37">
        <v>2</v>
      </c>
      <c r="K39" s="37">
        <v>2</v>
      </c>
      <c r="L39" s="22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</row>
    <row r="40" spans="1:29" ht="18" x14ac:dyDescent="0.2">
      <c r="A40" s="95"/>
      <c r="B40" s="25" t="s">
        <v>49</v>
      </c>
      <c r="C40" s="24" t="s">
        <v>76</v>
      </c>
      <c r="D40" s="39"/>
      <c r="E40" s="37">
        <v>2</v>
      </c>
      <c r="F40" s="37">
        <v>2</v>
      </c>
      <c r="G40" s="37">
        <v>2</v>
      </c>
      <c r="H40" s="37">
        <v>2</v>
      </c>
      <c r="I40" s="37">
        <v>2</v>
      </c>
      <c r="J40" s="37">
        <v>2</v>
      </c>
      <c r="K40" s="37">
        <v>2</v>
      </c>
      <c r="L40" s="37">
        <v>2</v>
      </c>
      <c r="M40" s="22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ht="18" x14ac:dyDescent="0.2">
      <c r="A41" s="95"/>
      <c r="B41" s="25" t="s">
        <v>83</v>
      </c>
      <c r="C41" s="24" t="s">
        <v>74</v>
      </c>
      <c r="D41" s="39"/>
      <c r="E41" s="37">
        <v>2</v>
      </c>
      <c r="F41" s="37">
        <v>2</v>
      </c>
      <c r="G41" s="37">
        <v>2</v>
      </c>
      <c r="H41" s="37">
        <v>2</v>
      </c>
      <c r="I41" s="37">
        <v>2</v>
      </c>
      <c r="J41" s="37">
        <v>2</v>
      </c>
      <c r="K41" s="37">
        <v>2</v>
      </c>
      <c r="L41" s="37">
        <v>2</v>
      </c>
      <c r="M41" s="22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ht="18" x14ac:dyDescent="0.2">
      <c r="A42" s="95"/>
      <c r="B42" s="25" t="s">
        <v>23</v>
      </c>
      <c r="C42" s="24" t="s">
        <v>70</v>
      </c>
      <c r="D42" s="39"/>
      <c r="E42" s="37">
        <v>1</v>
      </c>
      <c r="F42" s="37">
        <v>1</v>
      </c>
      <c r="G42" s="37">
        <v>1</v>
      </c>
      <c r="H42" s="37">
        <v>1</v>
      </c>
      <c r="I42" s="37">
        <v>1</v>
      </c>
      <c r="J42" s="37">
        <v>1</v>
      </c>
      <c r="K42" s="37">
        <v>1</v>
      </c>
      <c r="L42" s="37">
        <v>1</v>
      </c>
      <c r="M42" s="22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</row>
    <row r="43" spans="1:29" ht="18" x14ac:dyDescent="0.2">
      <c r="A43" s="95"/>
      <c r="B43" s="25" t="s">
        <v>84</v>
      </c>
      <c r="C43" s="24" t="s">
        <v>76</v>
      </c>
      <c r="D43" s="39"/>
      <c r="E43" s="37">
        <v>3</v>
      </c>
      <c r="F43" s="37">
        <v>3</v>
      </c>
      <c r="G43" s="37">
        <v>3</v>
      </c>
      <c r="H43" s="37">
        <v>3</v>
      </c>
      <c r="I43" s="37">
        <v>3</v>
      </c>
      <c r="J43" s="37">
        <v>3</v>
      </c>
      <c r="K43" s="37">
        <v>3</v>
      </c>
      <c r="L43" s="37">
        <v>3</v>
      </c>
      <c r="M43" s="22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</row>
    <row r="44" spans="1:29" ht="18" x14ac:dyDescent="0.2">
      <c r="A44" s="95"/>
      <c r="B44" s="25" t="s">
        <v>50</v>
      </c>
      <c r="C44" s="24" t="s">
        <v>65</v>
      </c>
      <c r="D44" s="39"/>
      <c r="E44" s="37">
        <v>2</v>
      </c>
      <c r="F44" s="37">
        <v>2</v>
      </c>
      <c r="G44" s="37">
        <v>2</v>
      </c>
      <c r="H44" s="37">
        <v>2</v>
      </c>
      <c r="I44" s="37">
        <v>2</v>
      </c>
      <c r="J44" s="37">
        <v>2</v>
      </c>
      <c r="K44" s="37">
        <v>2</v>
      </c>
      <c r="L44" s="37">
        <v>2</v>
      </c>
      <c r="M44" s="37">
        <v>2</v>
      </c>
      <c r="N44" s="22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</row>
    <row r="45" spans="1:29" ht="18" x14ac:dyDescent="0.2">
      <c r="A45" s="95" t="s">
        <v>40</v>
      </c>
      <c r="B45" s="25" t="s">
        <v>48</v>
      </c>
      <c r="C45" s="24" t="s">
        <v>69</v>
      </c>
      <c r="D45" s="38"/>
      <c r="E45" s="37">
        <v>6</v>
      </c>
      <c r="F45" s="37">
        <v>6</v>
      </c>
      <c r="G45" s="37">
        <v>6</v>
      </c>
      <c r="H45" s="37">
        <v>6</v>
      </c>
      <c r="I45" s="37">
        <v>6</v>
      </c>
      <c r="J45" s="37">
        <v>6</v>
      </c>
      <c r="K45" s="37">
        <v>6</v>
      </c>
      <c r="L45" s="37">
        <v>6</v>
      </c>
      <c r="M45" s="37">
        <v>6</v>
      </c>
      <c r="N45" s="37">
        <v>6</v>
      </c>
      <c r="O45" s="37">
        <v>3</v>
      </c>
      <c r="P45" s="22">
        <v>0</v>
      </c>
      <c r="Q45" s="62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</row>
    <row r="46" spans="1:29" ht="18" x14ac:dyDescent="0.2">
      <c r="A46" s="95"/>
      <c r="B46" s="25" t="s">
        <v>20</v>
      </c>
      <c r="C46" s="24" t="s">
        <v>68</v>
      </c>
      <c r="D46" s="38"/>
      <c r="E46" s="37">
        <v>6</v>
      </c>
      <c r="F46" s="37">
        <v>6</v>
      </c>
      <c r="G46" s="37">
        <v>6</v>
      </c>
      <c r="H46" s="37">
        <v>6</v>
      </c>
      <c r="I46" s="37">
        <v>6</v>
      </c>
      <c r="J46" s="37">
        <v>6</v>
      </c>
      <c r="K46" s="37">
        <v>6</v>
      </c>
      <c r="L46" s="37">
        <v>6</v>
      </c>
      <c r="M46" s="37">
        <v>6</v>
      </c>
      <c r="N46" s="37">
        <v>6</v>
      </c>
      <c r="O46" s="37">
        <v>6</v>
      </c>
      <c r="P46" s="37">
        <v>3</v>
      </c>
      <c r="Q46" s="22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</row>
    <row r="47" spans="1:29" ht="18" x14ac:dyDescent="0.2">
      <c r="A47" s="95"/>
      <c r="B47" s="25" t="s">
        <v>19</v>
      </c>
      <c r="C47" s="24" t="s">
        <v>67</v>
      </c>
      <c r="D47" s="38"/>
      <c r="E47" s="37">
        <v>7</v>
      </c>
      <c r="F47" s="37">
        <v>7</v>
      </c>
      <c r="G47" s="37">
        <v>7</v>
      </c>
      <c r="H47" s="37">
        <v>7</v>
      </c>
      <c r="I47" s="37">
        <v>7</v>
      </c>
      <c r="J47" s="37">
        <v>7</v>
      </c>
      <c r="K47" s="37">
        <v>7</v>
      </c>
      <c r="L47" s="37">
        <v>7</v>
      </c>
      <c r="M47" s="37">
        <v>7</v>
      </c>
      <c r="N47" s="37">
        <v>7</v>
      </c>
      <c r="O47" s="37">
        <v>7</v>
      </c>
      <c r="P47" s="37">
        <v>7</v>
      </c>
      <c r="Q47" s="37">
        <v>7</v>
      </c>
      <c r="R47" s="22">
        <v>0</v>
      </c>
      <c r="S47" s="62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ht="18" x14ac:dyDescent="0.2">
      <c r="A48" s="95"/>
      <c r="B48" s="25" t="s">
        <v>81</v>
      </c>
      <c r="C48" s="24" t="s">
        <v>91</v>
      </c>
      <c r="D48" s="38"/>
      <c r="E48" s="37">
        <v>6</v>
      </c>
      <c r="F48" s="37">
        <v>6</v>
      </c>
      <c r="G48" s="37">
        <v>6</v>
      </c>
      <c r="H48" s="37">
        <v>6</v>
      </c>
      <c r="I48" s="37">
        <v>6</v>
      </c>
      <c r="J48" s="37">
        <v>6</v>
      </c>
      <c r="K48" s="37">
        <v>6</v>
      </c>
      <c r="L48" s="37">
        <v>6</v>
      </c>
      <c r="M48" s="37">
        <v>6</v>
      </c>
      <c r="N48" s="37">
        <v>6</v>
      </c>
      <c r="O48" s="37">
        <v>6</v>
      </c>
      <c r="P48" s="37">
        <v>6</v>
      </c>
      <c r="Q48" s="37">
        <v>6</v>
      </c>
      <c r="R48" s="62">
        <v>6</v>
      </c>
      <c r="S48" s="22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</row>
    <row r="49" spans="1:29" ht="18" x14ac:dyDescent="0.2">
      <c r="A49" s="95"/>
      <c r="B49" s="25" t="s">
        <v>82</v>
      </c>
      <c r="C49" s="24" t="s">
        <v>68</v>
      </c>
      <c r="D49" s="38"/>
      <c r="E49" s="37">
        <v>6</v>
      </c>
      <c r="F49" s="37">
        <v>6</v>
      </c>
      <c r="G49" s="37">
        <v>6</v>
      </c>
      <c r="H49" s="37">
        <v>6</v>
      </c>
      <c r="I49" s="37">
        <v>6</v>
      </c>
      <c r="J49" s="37">
        <v>6</v>
      </c>
      <c r="K49" s="37">
        <v>6</v>
      </c>
      <c r="L49" s="37">
        <v>6</v>
      </c>
      <c r="M49" s="37">
        <v>6</v>
      </c>
      <c r="N49" s="37">
        <v>6</v>
      </c>
      <c r="O49" s="37">
        <v>6</v>
      </c>
      <c r="P49" s="37">
        <v>6</v>
      </c>
      <c r="Q49" s="37">
        <v>6</v>
      </c>
      <c r="R49" s="37">
        <v>6</v>
      </c>
      <c r="S49" s="22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</row>
    <row r="50" spans="1:29" ht="18" x14ac:dyDescent="0.2">
      <c r="A50" s="95"/>
      <c r="B50" s="25" t="s">
        <v>21</v>
      </c>
      <c r="C50" s="24" t="s">
        <v>66</v>
      </c>
      <c r="D50" s="38"/>
      <c r="E50" s="37">
        <v>6</v>
      </c>
      <c r="F50" s="37">
        <v>6</v>
      </c>
      <c r="G50" s="37">
        <v>6</v>
      </c>
      <c r="H50" s="37">
        <v>6</v>
      </c>
      <c r="I50" s="37">
        <v>6</v>
      </c>
      <c r="J50" s="37">
        <v>6</v>
      </c>
      <c r="K50" s="37">
        <v>6</v>
      </c>
      <c r="L50" s="37">
        <v>6</v>
      </c>
      <c r="M50" s="37">
        <v>6</v>
      </c>
      <c r="N50" s="37">
        <v>6</v>
      </c>
      <c r="O50" s="37">
        <v>6</v>
      </c>
      <c r="P50" s="37">
        <v>6</v>
      </c>
      <c r="Q50" s="37">
        <v>6</v>
      </c>
      <c r="R50" s="37">
        <v>6</v>
      </c>
      <c r="S50" s="37">
        <v>6</v>
      </c>
      <c r="T50" s="22">
        <v>0</v>
      </c>
      <c r="U50" s="62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</row>
    <row r="51" spans="1:29" ht="18" x14ac:dyDescent="0.2">
      <c r="A51" s="95"/>
      <c r="B51" s="25" t="s">
        <v>49</v>
      </c>
      <c r="C51" s="24" t="s">
        <v>67</v>
      </c>
      <c r="D51" s="38"/>
      <c r="E51" s="37">
        <v>6</v>
      </c>
      <c r="F51" s="37">
        <v>6</v>
      </c>
      <c r="G51" s="37">
        <v>6</v>
      </c>
      <c r="H51" s="37">
        <v>6</v>
      </c>
      <c r="I51" s="37">
        <v>6</v>
      </c>
      <c r="J51" s="37">
        <v>6</v>
      </c>
      <c r="K51" s="37">
        <v>6</v>
      </c>
      <c r="L51" s="37">
        <v>6</v>
      </c>
      <c r="M51" s="37">
        <v>6</v>
      </c>
      <c r="N51" s="37">
        <v>6</v>
      </c>
      <c r="O51" s="37">
        <v>6</v>
      </c>
      <c r="P51" s="37">
        <v>6</v>
      </c>
      <c r="Q51" s="37">
        <v>6</v>
      </c>
      <c r="R51" s="37">
        <v>6</v>
      </c>
      <c r="S51" s="37">
        <v>6</v>
      </c>
      <c r="T51" s="37">
        <v>6</v>
      </c>
      <c r="U51" s="22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</row>
    <row r="52" spans="1:29" ht="18" x14ac:dyDescent="0.2">
      <c r="A52" s="95"/>
      <c r="B52" s="25" t="s">
        <v>83</v>
      </c>
      <c r="C52" s="24" t="s">
        <v>66</v>
      </c>
      <c r="D52" s="38"/>
      <c r="E52" s="37">
        <v>6</v>
      </c>
      <c r="F52" s="37">
        <v>6</v>
      </c>
      <c r="G52" s="37">
        <v>6</v>
      </c>
      <c r="H52" s="37">
        <v>6</v>
      </c>
      <c r="I52" s="37">
        <v>6</v>
      </c>
      <c r="J52" s="37">
        <v>6</v>
      </c>
      <c r="K52" s="37">
        <v>6</v>
      </c>
      <c r="L52" s="37">
        <v>6</v>
      </c>
      <c r="M52" s="37">
        <v>6</v>
      </c>
      <c r="N52" s="37">
        <v>6</v>
      </c>
      <c r="O52" s="37">
        <v>6</v>
      </c>
      <c r="P52" s="37">
        <v>6</v>
      </c>
      <c r="Q52" s="37">
        <v>6</v>
      </c>
      <c r="R52" s="37">
        <v>6</v>
      </c>
      <c r="S52" s="37">
        <v>6</v>
      </c>
      <c r="T52" s="37">
        <v>6</v>
      </c>
      <c r="U52" s="37">
        <v>6</v>
      </c>
      <c r="V52" s="22">
        <v>0</v>
      </c>
      <c r="W52" s="62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</row>
    <row r="53" spans="1:29" ht="18" x14ac:dyDescent="0.2">
      <c r="A53" s="95"/>
      <c r="B53" s="25" t="s">
        <v>23</v>
      </c>
      <c r="C53" s="24" t="s">
        <v>90</v>
      </c>
      <c r="D53" s="38"/>
      <c r="E53" s="37">
        <v>6</v>
      </c>
      <c r="F53" s="37">
        <v>6</v>
      </c>
      <c r="G53" s="37">
        <v>6</v>
      </c>
      <c r="H53" s="37">
        <v>6</v>
      </c>
      <c r="I53" s="37">
        <v>6</v>
      </c>
      <c r="J53" s="37">
        <v>6</v>
      </c>
      <c r="K53" s="37">
        <v>6</v>
      </c>
      <c r="L53" s="37">
        <v>6</v>
      </c>
      <c r="M53" s="37">
        <v>6</v>
      </c>
      <c r="N53" s="37">
        <v>6</v>
      </c>
      <c r="O53" s="37">
        <v>6</v>
      </c>
      <c r="P53" s="37">
        <v>6</v>
      </c>
      <c r="Q53" s="37">
        <v>6</v>
      </c>
      <c r="R53" s="37">
        <v>6</v>
      </c>
      <c r="S53" s="37">
        <v>6</v>
      </c>
      <c r="T53" s="37">
        <v>6</v>
      </c>
      <c r="U53" s="37">
        <v>6</v>
      </c>
      <c r="V53" s="37">
        <v>6</v>
      </c>
      <c r="W53" s="22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</row>
    <row r="54" spans="1:29" ht="18" x14ac:dyDescent="0.2">
      <c r="A54" s="95"/>
      <c r="B54" s="25" t="s">
        <v>84</v>
      </c>
      <c r="C54" s="24" t="s">
        <v>91</v>
      </c>
      <c r="D54" s="38"/>
      <c r="E54" s="37">
        <v>8</v>
      </c>
      <c r="F54" s="37">
        <v>8</v>
      </c>
      <c r="G54" s="37">
        <v>8</v>
      </c>
      <c r="H54" s="37">
        <v>8</v>
      </c>
      <c r="I54" s="37">
        <v>8</v>
      </c>
      <c r="J54" s="37">
        <v>8</v>
      </c>
      <c r="K54" s="37">
        <v>8</v>
      </c>
      <c r="L54" s="37">
        <v>8</v>
      </c>
      <c r="M54" s="37">
        <v>8</v>
      </c>
      <c r="N54" s="37">
        <v>8</v>
      </c>
      <c r="O54" s="37">
        <v>8</v>
      </c>
      <c r="P54" s="37">
        <v>8</v>
      </c>
      <c r="Q54" s="37">
        <v>8</v>
      </c>
      <c r="R54" s="37">
        <v>8</v>
      </c>
      <c r="S54" s="37">
        <v>8</v>
      </c>
      <c r="T54" s="37">
        <v>8</v>
      </c>
      <c r="U54" s="37">
        <v>8</v>
      </c>
      <c r="V54" s="37">
        <v>8</v>
      </c>
      <c r="W54" s="22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</row>
    <row r="55" spans="1:29" ht="18" x14ac:dyDescent="0.2">
      <c r="A55" s="95"/>
      <c r="B55" s="28" t="s">
        <v>51</v>
      </c>
      <c r="C55" s="24" t="s">
        <v>65</v>
      </c>
      <c r="D55" s="38"/>
      <c r="E55" s="37">
        <v>4</v>
      </c>
      <c r="F55" s="37">
        <v>4</v>
      </c>
      <c r="G55" s="37">
        <v>4</v>
      </c>
      <c r="H55" s="37">
        <v>4</v>
      </c>
      <c r="I55" s="37">
        <v>4</v>
      </c>
      <c r="J55" s="37">
        <v>4</v>
      </c>
      <c r="K55" s="37">
        <v>4</v>
      </c>
      <c r="L55" s="37">
        <v>4</v>
      </c>
      <c r="M55" s="37">
        <v>4</v>
      </c>
      <c r="N55" s="37">
        <v>4</v>
      </c>
      <c r="O55" s="37">
        <v>4</v>
      </c>
      <c r="P55" s="37">
        <v>4</v>
      </c>
      <c r="Q55" s="37">
        <v>4</v>
      </c>
      <c r="R55" s="37">
        <v>4</v>
      </c>
      <c r="S55" s="37">
        <v>4</v>
      </c>
      <c r="T55" s="37">
        <v>4</v>
      </c>
      <c r="U55" s="37">
        <v>4</v>
      </c>
      <c r="V55" s="37">
        <v>4</v>
      </c>
      <c r="W55" s="37">
        <v>4</v>
      </c>
      <c r="X55" s="22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</row>
    <row r="56" spans="1:29" ht="18" x14ac:dyDescent="0.2">
      <c r="A56" s="95" t="s">
        <v>41</v>
      </c>
      <c r="B56" s="25" t="s">
        <v>48</v>
      </c>
      <c r="C56" s="24" t="s">
        <v>71</v>
      </c>
      <c r="D56" s="37"/>
      <c r="E56" s="37">
        <v>1</v>
      </c>
      <c r="F56" s="37">
        <v>1</v>
      </c>
      <c r="G56" s="37">
        <v>1</v>
      </c>
      <c r="H56" s="37">
        <v>1</v>
      </c>
      <c r="I56" s="37">
        <v>1</v>
      </c>
      <c r="J56" s="37">
        <v>1</v>
      </c>
      <c r="K56" s="37">
        <v>1</v>
      </c>
      <c r="L56" s="37">
        <v>1</v>
      </c>
      <c r="M56" s="37">
        <v>1</v>
      </c>
      <c r="N56" s="37">
        <v>1</v>
      </c>
      <c r="O56" s="37">
        <v>1</v>
      </c>
      <c r="P56" s="37">
        <v>1</v>
      </c>
      <c r="Q56" s="37">
        <v>1</v>
      </c>
      <c r="R56" s="37">
        <v>1</v>
      </c>
      <c r="S56" s="37">
        <v>1</v>
      </c>
      <c r="T56" s="37">
        <v>1</v>
      </c>
      <c r="U56" s="37">
        <v>1</v>
      </c>
      <c r="V56" s="37">
        <v>1</v>
      </c>
      <c r="W56" s="37">
        <v>1</v>
      </c>
      <c r="X56" s="37">
        <v>1</v>
      </c>
      <c r="Y56" s="22">
        <v>0</v>
      </c>
      <c r="Z56" s="37">
        <v>0</v>
      </c>
      <c r="AA56" s="37">
        <v>0</v>
      </c>
      <c r="AB56" s="37">
        <v>0</v>
      </c>
      <c r="AC56" s="37">
        <v>0</v>
      </c>
    </row>
    <row r="57" spans="1:29" ht="18" x14ac:dyDescent="0.2">
      <c r="A57" s="95"/>
      <c r="B57" s="25" t="s">
        <v>20</v>
      </c>
      <c r="C57" s="24" t="s">
        <v>76</v>
      </c>
      <c r="D57" s="37"/>
      <c r="E57" s="37">
        <v>2</v>
      </c>
      <c r="F57" s="37">
        <v>2</v>
      </c>
      <c r="G57" s="37">
        <v>2</v>
      </c>
      <c r="H57" s="37">
        <v>2</v>
      </c>
      <c r="I57" s="37">
        <v>2</v>
      </c>
      <c r="J57" s="37">
        <v>2</v>
      </c>
      <c r="K57" s="37">
        <v>2</v>
      </c>
      <c r="L57" s="37">
        <v>2</v>
      </c>
      <c r="M57" s="37">
        <v>2</v>
      </c>
      <c r="N57" s="37">
        <v>2</v>
      </c>
      <c r="O57" s="37">
        <v>2</v>
      </c>
      <c r="P57" s="37">
        <v>2</v>
      </c>
      <c r="Q57" s="37">
        <v>2</v>
      </c>
      <c r="R57" s="37">
        <v>2</v>
      </c>
      <c r="S57" s="37">
        <v>2</v>
      </c>
      <c r="T57" s="37">
        <v>2</v>
      </c>
      <c r="U57" s="37">
        <v>2</v>
      </c>
      <c r="V57" s="37">
        <v>2</v>
      </c>
      <c r="W57" s="37">
        <v>2</v>
      </c>
      <c r="X57" s="37">
        <v>2</v>
      </c>
      <c r="Y57" s="22">
        <v>0</v>
      </c>
      <c r="Z57" s="37">
        <v>0</v>
      </c>
      <c r="AA57" s="37">
        <v>0</v>
      </c>
      <c r="AB57" s="37">
        <v>0</v>
      </c>
      <c r="AC57" s="37">
        <v>0</v>
      </c>
    </row>
    <row r="58" spans="1:29" ht="18" x14ac:dyDescent="0.2">
      <c r="A58" s="95"/>
      <c r="B58" s="25" t="s">
        <v>19</v>
      </c>
      <c r="C58" s="24" t="s">
        <v>71</v>
      </c>
      <c r="D58" s="37"/>
      <c r="E58" s="37">
        <v>1</v>
      </c>
      <c r="F58" s="37">
        <v>1</v>
      </c>
      <c r="G58" s="37">
        <v>1</v>
      </c>
      <c r="H58" s="37">
        <v>1</v>
      </c>
      <c r="I58" s="37">
        <v>1</v>
      </c>
      <c r="J58" s="37">
        <v>1</v>
      </c>
      <c r="K58" s="37">
        <v>1</v>
      </c>
      <c r="L58" s="37">
        <v>1</v>
      </c>
      <c r="M58" s="37">
        <v>1</v>
      </c>
      <c r="N58" s="37">
        <v>1</v>
      </c>
      <c r="O58" s="37">
        <v>1</v>
      </c>
      <c r="P58" s="37">
        <v>1</v>
      </c>
      <c r="Q58" s="37">
        <v>1</v>
      </c>
      <c r="R58" s="37">
        <v>1</v>
      </c>
      <c r="S58" s="37">
        <v>1</v>
      </c>
      <c r="T58" s="37">
        <v>1</v>
      </c>
      <c r="U58" s="37">
        <v>1</v>
      </c>
      <c r="V58" s="37">
        <v>1</v>
      </c>
      <c r="W58" s="37">
        <v>1</v>
      </c>
      <c r="X58" s="37">
        <v>1</v>
      </c>
      <c r="Y58" s="22">
        <v>0</v>
      </c>
      <c r="Z58" s="37">
        <v>0</v>
      </c>
      <c r="AA58" s="37">
        <v>0</v>
      </c>
      <c r="AB58" s="37">
        <v>0</v>
      </c>
      <c r="AC58" s="37">
        <v>0</v>
      </c>
    </row>
    <row r="59" spans="1:29" ht="18" x14ac:dyDescent="0.2">
      <c r="A59" s="95"/>
      <c r="B59" s="25" t="s">
        <v>81</v>
      </c>
      <c r="C59" s="24" t="s">
        <v>70</v>
      </c>
      <c r="D59" s="37"/>
      <c r="E59" s="37">
        <v>2</v>
      </c>
      <c r="F59" s="37">
        <v>2</v>
      </c>
      <c r="G59" s="37">
        <v>2</v>
      </c>
      <c r="H59" s="37">
        <v>2</v>
      </c>
      <c r="I59" s="37">
        <v>2</v>
      </c>
      <c r="J59" s="37">
        <v>2</v>
      </c>
      <c r="K59" s="37">
        <v>2</v>
      </c>
      <c r="L59" s="37">
        <v>2</v>
      </c>
      <c r="M59" s="37">
        <v>2</v>
      </c>
      <c r="N59" s="37">
        <v>2</v>
      </c>
      <c r="O59" s="37">
        <v>2</v>
      </c>
      <c r="P59" s="37">
        <v>2</v>
      </c>
      <c r="Q59" s="37">
        <v>2</v>
      </c>
      <c r="R59" s="37">
        <v>2</v>
      </c>
      <c r="S59" s="37">
        <v>2</v>
      </c>
      <c r="T59" s="37">
        <v>2</v>
      </c>
      <c r="U59" s="37">
        <v>2</v>
      </c>
      <c r="V59" s="37">
        <v>2</v>
      </c>
      <c r="W59" s="37">
        <v>2</v>
      </c>
      <c r="X59" s="37">
        <v>2</v>
      </c>
      <c r="Y59" s="22">
        <v>0</v>
      </c>
      <c r="Z59" s="37">
        <v>0</v>
      </c>
      <c r="AA59" s="37">
        <v>0</v>
      </c>
      <c r="AB59" s="37">
        <v>0</v>
      </c>
      <c r="AC59" s="37">
        <v>0</v>
      </c>
    </row>
    <row r="60" spans="1:29" ht="18" x14ac:dyDescent="0.2">
      <c r="A60" s="95"/>
      <c r="B60" s="25" t="s">
        <v>82</v>
      </c>
      <c r="C60" s="24" t="s">
        <v>74</v>
      </c>
      <c r="D60" s="37"/>
      <c r="E60" s="37">
        <v>2</v>
      </c>
      <c r="F60" s="37">
        <v>2</v>
      </c>
      <c r="G60" s="37">
        <v>2</v>
      </c>
      <c r="H60" s="37">
        <v>2</v>
      </c>
      <c r="I60" s="37">
        <v>2</v>
      </c>
      <c r="J60" s="37">
        <v>2</v>
      </c>
      <c r="K60" s="37">
        <v>2</v>
      </c>
      <c r="L60" s="37">
        <v>2</v>
      </c>
      <c r="M60" s="37">
        <v>2</v>
      </c>
      <c r="N60" s="37">
        <v>2</v>
      </c>
      <c r="O60" s="37">
        <v>2</v>
      </c>
      <c r="P60" s="37">
        <v>2</v>
      </c>
      <c r="Q60" s="37">
        <v>2</v>
      </c>
      <c r="R60" s="37">
        <v>2</v>
      </c>
      <c r="S60" s="37">
        <v>2</v>
      </c>
      <c r="T60" s="37">
        <v>2</v>
      </c>
      <c r="U60" s="37">
        <v>2</v>
      </c>
      <c r="V60" s="37">
        <v>2</v>
      </c>
      <c r="W60" s="37">
        <v>2</v>
      </c>
      <c r="X60" s="37">
        <v>2</v>
      </c>
      <c r="Y60" s="22">
        <v>0</v>
      </c>
      <c r="Z60" s="37">
        <v>0</v>
      </c>
      <c r="AA60" s="37">
        <v>0</v>
      </c>
      <c r="AB60" s="37">
        <v>0</v>
      </c>
      <c r="AC60" s="37">
        <v>0</v>
      </c>
    </row>
    <row r="61" spans="1:29" ht="18" x14ac:dyDescent="0.2">
      <c r="A61" s="95"/>
      <c r="B61" s="25" t="s">
        <v>21</v>
      </c>
      <c r="C61" s="24" t="s">
        <v>74</v>
      </c>
      <c r="D61" s="37"/>
      <c r="E61" s="37">
        <v>2</v>
      </c>
      <c r="F61" s="37">
        <v>2</v>
      </c>
      <c r="G61" s="37">
        <v>2</v>
      </c>
      <c r="H61" s="37">
        <v>2</v>
      </c>
      <c r="I61" s="37">
        <v>2</v>
      </c>
      <c r="J61" s="37">
        <v>2</v>
      </c>
      <c r="K61" s="37">
        <v>2</v>
      </c>
      <c r="L61" s="37">
        <v>2</v>
      </c>
      <c r="M61" s="37">
        <v>2</v>
      </c>
      <c r="N61" s="37">
        <v>2</v>
      </c>
      <c r="O61" s="37">
        <v>2</v>
      </c>
      <c r="P61" s="37">
        <v>2</v>
      </c>
      <c r="Q61" s="37">
        <v>2</v>
      </c>
      <c r="R61" s="37">
        <v>2</v>
      </c>
      <c r="S61" s="37">
        <v>2</v>
      </c>
      <c r="T61" s="37">
        <v>2</v>
      </c>
      <c r="U61" s="37">
        <v>2</v>
      </c>
      <c r="V61" s="37">
        <v>2</v>
      </c>
      <c r="W61" s="37">
        <v>2</v>
      </c>
      <c r="X61" s="37">
        <v>2</v>
      </c>
      <c r="Y61" s="22">
        <v>0</v>
      </c>
      <c r="Z61" s="37">
        <v>0</v>
      </c>
      <c r="AA61" s="37">
        <v>0</v>
      </c>
      <c r="AB61" s="37">
        <v>0</v>
      </c>
      <c r="AC61" s="37">
        <v>0</v>
      </c>
    </row>
    <row r="62" spans="1:29" ht="18" x14ac:dyDescent="0.2">
      <c r="A62" s="95"/>
      <c r="B62" s="25" t="s">
        <v>49</v>
      </c>
      <c r="C62" s="24" t="s">
        <v>76</v>
      </c>
      <c r="D62" s="37"/>
      <c r="E62" s="37">
        <v>2</v>
      </c>
      <c r="F62" s="37">
        <v>2</v>
      </c>
      <c r="G62" s="37">
        <v>2</v>
      </c>
      <c r="H62" s="37">
        <v>2</v>
      </c>
      <c r="I62" s="37">
        <v>2</v>
      </c>
      <c r="J62" s="37">
        <v>2</v>
      </c>
      <c r="K62" s="37">
        <v>2</v>
      </c>
      <c r="L62" s="37">
        <v>2</v>
      </c>
      <c r="M62" s="37">
        <v>2</v>
      </c>
      <c r="N62" s="37">
        <v>2</v>
      </c>
      <c r="O62" s="37">
        <v>2</v>
      </c>
      <c r="P62" s="37">
        <v>2</v>
      </c>
      <c r="Q62" s="37">
        <v>2</v>
      </c>
      <c r="R62" s="37">
        <v>2</v>
      </c>
      <c r="S62" s="37">
        <v>2</v>
      </c>
      <c r="T62" s="37">
        <v>2</v>
      </c>
      <c r="U62" s="37">
        <v>2</v>
      </c>
      <c r="V62" s="37">
        <v>2</v>
      </c>
      <c r="W62" s="37">
        <v>2</v>
      </c>
      <c r="X62" s="37">
        <v>2</v>
      </c>
      <c r="Y62" s="22">
        <v>0</v>
      </c>
      <c r="Z62" s="37">
        <v>0</v>
      </c>
      <c r="AA62" s="37">
        <v>0</v>
      </c>
      <c r="AB62" s="37">
        <v>0</v>
      </c>
      <c r="AC62" s="37">
        <v>0</v>
      </c>
    </row>
    <row r="63" spans="1:29" ht="18" x14ac:dyDescent="0.2">
      <c r="A63" s="95"/>
      <c r="B63" s="25" t="s">
        <v>83</v>
      </c>
      <c r="C63" s="24" t="s">
        <v>74</v>
      </c>
      <c r="D63" s="37"/>
      <c r="E63" s="37">
        <v>2</v>
      </c>
      <c r="F63" s="37">
        <v>2</v>
      </c>
      <c r="G63" s="37">
        <v>2</v>
      </c>
      <c r="H63" s="37">
        <v>2</v>
      </c>
      <c r="I63" s="37">
        <v>2</v>
      </c>
      <c r="J63" s="37">
        <v>2</v>
      </c>
      <c r="K63" s="37">
        <v>2</v>
      </c>
      <c r="L63" s="37">
        <v>2</v>
      </c>
      <c r="M63" s="37">
        <v>2</v>
      </c>
      <c r="N63" s="37">
        <v>2</v>
      </c>
      <c r="O63" s="37">
        <v>2</v>
      </c>
      <c r="P63" s="37">
        <v>2</v>
      </c>
      <c r="Q63" s="37">
        <v>2</v>
      </c>
      <c r="R63" s="37">
        <v>2</v>
      </c>
      <c r="S63" s="37">
        <v>2</v>
      </c>
      <c r="T63" s="37">
        <v>2</v>
      </c>
      <c r="U63" s="37">
        <v>2</v>
      </c>
      <c r="V63" s="37">
        <v>2</v>
      </c>
      <c r="W63" s="37">
        <v>2</v>
      </c>
      <c r="X63" s="37">
        <v>2</v>
      </c>
      <c r="Y63" s="22">
        <v>0</v>
      </c>
      <c r="Z63" s="37">
        <v>0</v>
      </c>
      <c r="AA63" s="37">
        <v>0</v>
      </c>
      <c r="AB63" s="37">
        <v>0</v>
      </c>
      <c r="AC63" s="37">
        <v>0</v>
      </c>
    </row>
    <row r="64" spans="1:29" ht="18" x14ac:dyDescent="0.2">
      <c r="A64" s="95"/>
      <c r="B64" s="25" t="s">
        <v>23</v>
      </c>
      <c r="C64" s="24" t="s">
        <v>70</v>
      </c>
      <c r="D64" s="37"/>
      <c r="E64" s="37">
        <v>2</v>
      </c>
      <c r="F64" s="37">
        <v>2</v>
      </c>
      <c r="G64" s="37">
        <v>2</v>
      </c>
      <c r="H64" s="37">
        <v>2</v>
      </c>
      <c r="I64" s="37">
        <v>2</v>
      </c>
      <c r="J64" s="37">
        <v>2</v>
      </c>
      <c r="K64" s="37">
        <v>2</v>
      </c>
      <c r="L64" s="37">
        <v>2</v>
      </c>
      <c r="M64" s="37">
        <v>2</v>
      </c>
      <c r="N64" s="37">
        <v>2</v>
      </c>
      <c r="O64" s="37">
        <v>2</v>
      </c>
      <c r="P64" s="37">
        <v>2</v>
      </c>
      <c r="Q64" s="37">
        <v>2</v>
      </c>
      <c r="R64" s="37">
        <v>2</v>
      </c>
      <c r="S64" s="37">
        <v>2</v>
      </c>
      <c r="T64" s="37">
        <v>2</v>
      </c>
      <c r="U64" s="37">
        <v>2</v>
      </c>
      <c r="V64" s="37">
        <v>2</v>
      </c>
      <c r="W64" s="37">
        <v>2</v>
      </c>
      <c r="X64" s="37">
        <v>2</v>
      </c>
      <c r="Y64" s="22">
        <v>0</v>
      </c>
      <c r="Z64" s="37">
        <v>0</v>
      </c>
      <c r="AA64" s="37">
        <v>0</v>
      </c>
      <c r="AB64" s="37">
        <v>0</v>
      </c>
      <c r="AC64" s="37">
        <v>0</v>
      </c>
    </row>
    <row r="65" spans="1:29" ht="18" x14ac:dyDescent="0.2">
      <c r="A65" s="95"/>
      <c r="B65" s="25" t="s">
        <v>84</v>
      </c>
      <c r="C65" s="24" t="s">
        <v>76</v>
      </c>
      <c r="D65" s="37"/>
      <c r="E65" s="37">
        <v>2</v>
      </c>
      <c r="F65" s="37">
        <v>2</v>
      </c>
      <c r="G65" s="37">
        <v>2</v>
      </c>
      <c r="H65" s="37">
        <v>2</v>
      </c>
      <c r="I65" s="37">
        <v>2</v>
      </c>
      <c r="J65" s="37">
        <v>2</v>
      </c>
      <c r="K65" s="37">
        <v>2</v>
      </c>
      <c r="L65" s="37">
        <v>2</v>
      </c>
      <c r="M65" s="37">
        <v>2</v>
      </c>
      <c r="N65" s="37">
        <v>2</v>
      </c>
      <c r="O65" s="37">
        <v>2</v>
      </c>
      <c r="P65" s="37">
        <v>2</v>
      </c>
      <c r="Q65" s="37">
        <v>2</v>
      </c>
      <c r="R65" s="37">
        <v>2</v>
      </c>
      <c r="S65" s="37">
        <v>2</v>
      </c>
      <c r="T65" s="37">
        <v>2</v>
      </c>
      <c r="U65" s="37">
        <v>2</v>
      </c>
      <c r="V65" s="37">
        <v>2</v>
      </c>
      <c r="W65" s="37">
        <v>2</v>
      </c>
      <c r="X65" s="37">
        <v>2</v>
      </c>
      <c r="Y65" s="22">
        <v>0</v>
      </c>
      <c r="Z65" s="37">
        <v>0</v>
      </c>
      <c r="AA65" s="37">
        <v>0</v>
      </c>
      <c r="AB65" s="37">
        <v>0</v>
      </c>
      <c r="AC65" s="37">
        <v>0</v>
      </c>
    </row>
    <row r="66" spans="1:29" ht="18" x14ac:dyDescent="0.2">
      <c r="A66" s="95"/>
      <c r="B66" s="25" t="s">
        <v>86</v>
      </c>
      <c r="C66" s="24" t="s">
        <v>65</v>
      </c>
      <c r="D66" s="37"/>
      <c r="E66" s="37">
        <v>1</v>
      </c>
      <c r="F66" s="37">
        <v>1</v>
      </c>
      <c r="G66" s="37">
        <v>1</v>
      </c>
      <c r="H66" s="37">
        <v>1</v>
      </c>
      <c r="I66" s="37">
        <v>1</v>
      </c>
      <c r="J66" s="37">
        <v>1</v>
      </c>
      <c r="K66" s="37">
        <v>1</v>
      </c>
      <c r="L66" s="37">
        <v>1</v>
      </c>
      <c r="M66" s="37">
        <v>1</v>
      </c>
      <c r="N66" s="37">
        <v>1</v>
      </c>
      <c r="O66" s="37">
        <v>1</v>
      </c>
      <c r="P66" s="37">
        <v>1</v>
      </c>
      <c r="Q66" s="37">
        <v>1</v>
      </c>
      <c r="R66" s="37">
        <v>1</v>
      </c>
      <c r="S66" s="37">
        <v>1</v>
      </c>
      <c r="T66" s="37">
        <v>1</v>
      </c>
      <c r="U66" s="37">
        <v>1</v>
      </c>
      <c r="V66" s="37">
        <v>1</v>
      </c>
      <c r="W66" s="37">
        <v>1</v>
      </c>
      <c r="X66" s="37">
        <v>1</v>
      </c>
      <c r="Y66" s="22">
        <v>0</v>
      </c>
      <c r="Z66" s="37">
        <v>0</v>
      </c>
      <c r="AA66" s="37">
        <v>0</v>
      </c>
      <c r="AB66" s="37">
        <v>0</v>
      </c>
      <c r="AC66" s="37">
        <v>0</v>
      </c>
    </row>
    <row r="67" spans="1:29" ht="18" x14ac:dyDescent="0.2">
      <c r="A67" s="95" t="s">
        <v>42</v>
      </c>
      <c r="B67" s="25" t="s">
        <v>48</v>
      </c>
      <c r="C67" s="24" t="s">
        <v>71</v>
      </c>
      <c r="D67" s="37"/>
      <c r="E67" s="37">
        <v>2</v>
      </c>
      <c r="F67" s="37">
        <v>2</v>
      </c>
      <c r="G67" s="37">
        <v>2</v>
      </c>
      <c r="H67" s="37">
        <v>2</v>
      </c>
      <c r="I67" s="37">
        <v>2</v>
      </c>
      <c r="J67" s="37">
        <v>2</v>
      </c>
      <c r="K67" s="37">
        <v>2</v>
      </c>
      <c r="L67" s="37">
        <v>2</v>
      </c>
      <c r="M67" s="37">
        <v>2</v>
      </c>
      <c r="N67" s="37">
        <v>2</v>
      </c>
      <c r="O67" s="37">
        <v>2</v>
      </c>
      <c r="P67" s="37">
        <v>2</v>
      </c>
      <c r="Q67" s="37">
        <v>2</v>
      </c>
      <c r="R67" s="37">
        <v>2</v>
      </c>
      <c r="S67" s="37">
        <v>2</v>
      </c>
      <c r="T67" s="37">
        <v>2</v>
      </c>
      <c r="U67" s="37">
        <v>2</v>
      </c>
      <c r="V67" s="37">
        <v>2</v>
      </c>
      <c r="W67" s="37">
        <v>2</v>
      </c>
      <c r="X67" s="37">
        <v>2</v>
      </c>
      <c r="Y67" s="37">
        <v>2</v>
      </c>
      <c r="Z67" s="22">
        <v>0</v>
      </c>
      <c r="AA67" s="37">
        <v>0</v>
      </c>
      <c r="AB67" s="37">
        <v>0</v>
      </c>
      <c r="AC67" s="37">
        <v>0</v>
      </c>
    </row>
    <row r="68" spans="1:29" ht="18" x14ac:dyDescent="0.2">
      <c r="A68" s="95"/>
      <c r="B68" s="25" t="s">
        <v>20</v>
      </c>
      <c r="C68" s="24" t="s">
        <v>76</v>
      </c>
      <c r="D68" s="37"/>
      <c r="E68" s="37">
        <v>2</v>
      </c>
      <c r="F68" s="37">
        <v>2</v>
      </c>
      <c r="G68" s="37">
        <v>2</v>
      </c>
      <c r="H68" s="37">
        <v>2</v>
      </c>
      <c r="I68" s="37">
        <v>2</v>
      </c>
      <c r="J68" s="37">
        <v>2</v>
      </c>
      <c r="K68" s="37">
        <v>2</v>
      </c>
      <c r="L68" s="37">
        <v>2</v>
      </c>
      <c r="M68" s="37">
        <v>2</v>
      </c>
      <c r="N68" s="37">
        <v>2</v>
      </c>
      <c r="O68" s="37">
        <v>2</v>
      </c>
      <c r="P68" s="37">
        <v>2</v>
      </c>
      <c r="Q68" s="37">
        <v>2</v>
      </c>
      <c r="R68" s="37">
        <v>2</v>
      </c>
      <c r="S68" s="37">
        <v>2</v>
      </c>
      <c r="T68" s="37">
        <v>2</v>
      </c>
      <c r="U68" s="37">
        <v>2</v>
      </c>
      <c r="V68" s="37">
        <v>2</v>
      </c>
      <c r="W68" s="37">
        <v>2</v>
      </c>
      <c r="X68" s="37">
        <v>2</v>
      </c>
      <c r="Y68" s="37">
        <v>2</v>
      </c>
      <c r="Z68" s="22">
        <v>0</v>
      </c>
      <c r="AA68" s="37">
        <v>0</v>
      </c>
      <c r="AB68" s="37">
        <v>0</v>
      </c>
      <c r="AC68" s="37">
        <v>0</v>
      </c>
    </row>
    <row r="69" spans="1:29" ht="18" x14ac:dyDescent="0.2">
      <c r="A69" s="95"/>
      <c r="B69" s="25" t="s">
        <v>19</v>
      </c>
      <c r="C69" s="24" t="s">
        <v>70</v>
      </c>
      <c r="D69" s="37"/>
      <c r="E69" s="37">
        <v>1</v>
      </c>
      <c r="F69" s="37">
        <v>1</v>
      </c>
      <c r="G69" s="37">
        <v>1</v>
      </c>
      <c r="H69" s="37">
        <v>1</v>
      </c>
      <c r="I69" s="37">
        <v>1</v>
      </c>
      <c r="J69" s="37">
        <v>1</v>
      </c>
      <c r="K69" s="37">
        <v>1</v>
      </c>
      <c r="L69" s="37">
        <v>1</v>
      </c>
      <c r="M69" s="37">
        <v>1</v>
      </c>
      <c r="N69" s="37">
        <v>1</v>
      </c>
      <c r="O69" s="37">
        <v>1</v>
      </c>
      <c r="P69" s="37">
        <v>1</v>
      </c>
      <c r="Q69" s="37">
        <v>1</v>
      </c>
      <c r="R69" s="37">
        <v>1</v>
      </c>
      <c r="S69" s="37">
        <v>1</v>
      </c>
      <c r="T69" s="37">
        <v>1</v>
      </c>
      <c r="U69" s="37">
        <v>1</v>
      </c>
      <c r="V69" s="37">
        <v>1</v>
      </c>
      <c r="W69" s="37">
        <v>1</v>
      </c>
      <c r="X69" s="37">
        <v>1</v>
      </c>
      <c r="Y69" s="37">
        <v>1</v>
      </c>
      <c r="Z69" s="22">
        <v>0</v>
      </c>
      <c r="AA69" s="37">
        <v>0</v>
      </c>
      <c r="AB69" s="37">
        <v>0</v>
      </c>
      <c r="AC69" s="37">
        <v>0</v>
      </c>
    </row>
    <row r="70" spans="1:29" ht="18" x14ac:dyDescent="0.2">
      <c r="A70" s="95"/>
      <c r="B70" s="25" t="s">
        <v>81</v>
      </c>
      <c r="C70" s="24" t="s">
        <v>74</v>
      </c>
      <c r="D70" s="37"/>
      <c r="E70" s="37">
        <v>2</v>
      </c>
      <c r="F70" s="37">
        <v>2</v>
      </c>
      <c r="G70" s="37">
        <v>2</v>
      </c>
      <c r="H70" s="37">
        <v>2</v>
      </c>
      <c r="I70" s="37">
        <v>2</v>
      </c>
      <c r="J70" s="37">
        <v>2</v>
      </c>
      <c r="K70" s="37">
        <v>2</v>
      </c>
      <c r="L70" s="37">
        <v>2</v>
      </c>
      <c r="M70" s="37">
        <v>2</v>
      </c>
      <c r="N70" s="37">
        <v>2</v>
      </c>
      <c r="O70" s="37">
        <v>2</v>
      </c>
      <c r="P70" s="37">
        <v>2</v>
      </c>
      <c r="Q70" s="37">
        <v>2</v>
      </c>
      <c r="R70" s="37">
        <v>2</v>
      </c>
      <c r="S70" s="37">
        <v>2</v>
      </c>
      <c r="T70" s="37">
        <v>2</v>
      </c>
      <c r="U70" s="37">
        <v>2</v>
      </c>
      <c r="V70" s="37">
        <v>2</v>
      </c>
      <c r="W70" s="37">
        <v>2</v>
      </c>
      <c r="X70" s="37">
        <v>2</v>
      </c>
      <c r="Y70" s="37">
        <v>2</v>
      </c>
      <c r="Z70" s="22">
        <v>0</v>
      </c>
      <c r="AA70" s="37">
        <v>0</v>
      </c>
      <c r="AB70" s="37">
        <v>0</v>
      </c>
      <c r="AC70" s="37">
        <v>0</v>
      </c>
    </row>
    <row r="71" spans="1:29" ht="18" x14ac:dyDescent="0.2">
      <c r="A71" s="95"/>
      <c r="B71" s="25" t="s">
        <v>82</v>
      </c>
      <c r="C71" s="24" t="s">
        <v>76</v>
      </c>
      <c r="D71" s="37"/>
      <c r="E71" s="37">
        <v>2</v>
      </c>
      <c r="F71" s="37">
        <v>2</v>
      </c>
      <c r="G71" s="37">
        <v>2</v>
      </c>
      <c r="H71" s="37">
        <v>2</v>
      </c>
      <c r="I71" s="37">
        <v>2</v>
      </c>
      <c r="J71" s="37">
        <v>2</v>
      </c>
      <c r="K71" s="37">
        <v>2</v>
      </c>
      <c r="L71" s="37">
        <v>2</v>
      </c>
      <c r="M71" s="37">
        <v>2</v>
      </c>
      <c r="N71" s="37">
        <v>2</v>
      </c>
      <c r="O71" s="37">
        <v>2</v>
      </c>
      <c r="P71" s="37">
        <v>2</v>
      </c>
      <c r="Q71" s="37">
        <v>2</v>
      </c>
      <c r="R71" s="37">
        <v>2</v>
      </c>
      <c r="S71" s="37">
        <v>2</v>
      </c>
      <c r="T71" s="37">
        <v>2</v>
      </c>
      <c r="U71" s="37">
        <v>2</v>
      </c>
      <c r="V71" s="37">
        <v>2</v>
      </c>
      <c r="W71" s="37">
        <v>2</v>
      </c>
      <c r="X71" s="37">
        <v>2</v>
      </c>
      <c r="Y71" s="37">
        <v>2</v>
      </c>
      <c r="Z71" s="37">
        <v>2</v>
      </c>
      <c r="AA71" s="22">
        <v>0</v>
      </c>
      <c r="AB71" s="37">
        <v>0</v>
      </c>
      <c r="AC71" s="37">
        <v>0</v>
      </c>
    </row>
    <row r="72" spans="1:29" ht="18" x14ac:dyDescent="0.2">
      <c r="A72" s="95"/>
      <c r="B72" s="25" t="s">
        <v>21</v>
      </c>
      <c r="C72" s="24" t="s">
        <v>71</v>
      </c>
      <c r="D72" s="37"/>
      <c r="E72" s="37">
        <v>2</v>
      </c>
      <c r="F72" s="37">
        <v>2</v>
      </c>
      <c r="G72" s="37">
        <v>2</v>
      </c>
      <c r="H72" s="37">
        <v>2</v>
      </c>
      <c r="I72" s="37">
        <v>2</v>
      </c>
      <c r="J72" s="37">
        <v>2</v>
      </c>
      <c r="K72" s="37">
        <v>2</v>
      </c>
      <c r="L72" s="37">
        <v>2</v>
      </c>
      <c r="M72" s="37">
        <v>2</v>
      </c>
      <c r="N72" s="37">
        <v>2</v>
      </c>
      <c r="O72" s="37">
        <v>2</v>
      </c>
      <c r="P72" s="37">
        <v>2</v>
      </c>
      <c r="Q72" s="37">
        <v>2</v>
      </c>
      <c r="R72" s="37">
        <v>2</v>
      </c>
      <c r="S72" s="37">
        <v>2</v>
      </c>
      <c r="T72" s="37">
        <v>2</v>
      </c>
      <c r="U72" s="37">
        <v>2</v>
      </c>
      <c r="V72" s="37">
        <v>2</v>
      </c>
      <c r="W72" s="37">
        <v>2</v>
      </c>
      <c r="X72" s="37">
        <v>2</v>
      </c>
      <c r="Y72" s="37">
        <v>2</v>
      </c>
      <c r="Z72" s="37">
        <v>2</v>
      </c>
      <c r="AA72" s="22">
        <v>0</v>
      </c>
      <c r="AB72" s="37">
        <v>0</v>
      </c>
      <c r="AC72" s="37">
        <v>0</v>
      </c>
    </row>
    <row r="73" spans="1:29" ht="18" x14ac:dyDescent="0.2">
      <c r="A73" s="95"/>
      <c r="B73" s="25" t="s">
        <v>49</v>
      </c>
      <c r="C73" s="24" t="s">
        <v>70</v>
      </c>
      <c r="D73" s="37"/>
      <c r="E73" s="37">
        <v>1</v>
      </c>
      <c r="F73" s="37">
        <v>1</v>
      </c>
      <c r="G73" s="37">
        <v>1</v>
      </c>
      <c r="H73" s="37">
        <v>1</v>
      </c>
      <c r="I73" s="37">
        <v>1</v>
      </c>
      <c r="J73" s="37">
        <v>1</v>
      </c>
      <c r="K73" s="37">
        <v>1</v>
      </c>
      <c r="L73" s="37">
        <v>1</v>
      </c>
      <c r="M73" s="37">
        <v>1</v>
      </c>
      <c r="N73" s="37">
        <v>1</v>
      </c>
      <c r="O73" s="37">
        <v>1</v>
      </c>
      <c r="P73" s="37">
        <v>1</v>
      </c>
      <c r="Q73" s="37">
        <v>1</v>
      </c>
      <c r="R73" s="37">
        <v>1</v>
      </c>
      <c r="S73" s="37">
        <v>1</v>
      </c>
      <c r="T73" s="37">
        <v>1</v>
      </c>
      <c r="U73" s="37">
        <v>1</v>
      </c>
      <c r="V73" s="37">
        <v>1</v>
      </c>
      <c r="W73" s="37">
        <v>1</v>
      </c>
      <c r="X73" s="37">
        <v>1</v>
      </c>
      <c r="Y73" s="37">
        <v>1</v>
      </c>
      <c r="Z73" s="37">
        <v>1</v>
      </c>
      <c r="AA73" s="22">
        <v>0</v>
      </c>
      <c r="AB73" s="37">
        <v>0</v>
      </c>
      <c r="AC73" s="37">
        <v>0</v>
      </c>
    </row>
    <row r="74" spans="1:29" ht="18" x14ac:dyDescent="0.2">
      <c r="A74" s="95"/>
      <c r="B74" s="25" t="s">
        <v>83</v>
      </c>
      <c r="C74" s="24" t="s">
        <v>70</v>
      </c>
      <c r="D74" s="37"/>
      <c r="E74" s="37">
        <v>1</v>
      </c>
      <c r="F74" s="37">
        <v>1</v>
      </c>
      <c r="G74" s="37">
        <v>1</v>
      </c>
      <c r="H74" s="37">
        <v>1</v>
      </c>
      <c r="I74" s="37">
        <v>1</v>
      </c>
      <c r="J74" s="37">
        <v>1</v>
      </c>
      <c r="K74" s="37">
        <v>1</v>
      </c>
      <c r="L74" s="37">
        <v>1</v>
      </c>
      <c r="M74" s="37">
        <v>1</v>
      </c>
      <c r="N74" s="37">
        <v>1</v>
      </c>
      <c r="O74" s="37">
        <v>1</v>
      </c>
      <c r="P74" s="37">
        <v>1</v>
      </c>
      <c r="Q74" s="37">
        <v>1</v>
      </c>
      <c r="R74" s="37">
        <v>1</v>
      </c>
      <c r="S74" s="37">
        <v>1</v>
      </c>
      <c r="T74" s="37">
        <v>1</v>
      </c>
      <c r="U74" s="37">
        <v>1</v>
      </c>
      <c r="V74" s="37">
        <v>1</v>
      </c>
      <c r="W74" s="37">
        <v>1</v>
      </c>
      <c r="X74" s="37">
        <v>1</v>
      </c>
      <c r="Y74" s="37">
        <v>1</v>
      </c>
      <c r="Z74" s="37">
        <v>1</v>
      </c>
      <c r="AA74" s="22">
        <v>0</v>
      </c>
      <c r="AB74" s="37">
        <v>0</v>
      </c>
      <c r="AC74" s="37">
        <v>0</v>
      </c>
    </row>
    <row r="75" spans="1:29" ht="18" x14ac:dyDescent="0.2">
      <c r="A75" s="95"/>
      <c r="B75" s="25" t="s">
        <v>23</v>
      </c>
      <c r="C75" s="24" t="s">
        <v>71</v>
      </c>
      <c r="D75" s="37"/>
      <c r="E75" s="37">
        <v>1</v>
      </c>
      <c r="F75" s="37">
        <v>1</v>
      </c>
      <c r="G75" s="37">
        <v>1</v>
      </c>
      <c r="H75" s="37">
        <v>1</v>
      </c>
      <c r="I75" s="37">
        <v>1</v>
      </c>
      <c r="J75" s="37">
        <v>1</v>
      </c>
      <c r="K75" s="37">
        <v>1</v>
      </c>
      <c r="L75" s="37">
        <v>1</v>
      </c>
      <c r="M75" s="37">
        <v>1</v>
      </c>
      <c r="N75" s="37">
        <v>1</v>
      </c>
      <c r="O75" s="37">
        <v>1</v>
      </c>
      <c r="P75" s="37">
        <v>1</v>
      </c>
      <c r="Q75" s="37">
        <v>1</v>
      </c>
      <c r="R75" s="37">
        <v>1</v>
      </c>
      <c r="S75" s="37">
        <v>1</v>
      </c>
      <c r="T75" s="37">
        <v>1</v>
      </c>
      <c r="U75" s="37">
        <v>1</v>
      </c>
      <c r="V75" s="37">
        <v>1</v>
      </c>
      <c r="W75" s="37">
        <v>1</v>
      </c>
      <c r="X75" s="37">
        <v>1</v>
      </c>
      <c r="Y75" s="37">
        <v>1</v>
      </c>
      <c r="Z75" s="37">
        <v>1</v>
      </c>
      <c r="AA75" s="22">
        <v>0</v>
      </c>
      <c r="AB75" s="37">
        <v>0</v>
      </c>
      <c r="AC75" s="37">
        <v>0</v>
      </c>
    </row>
    <row r="76" spans="1:29" ht="18" x14ac:dyDescent="0.2">
      <c r="A76" s="95"/>
      <c r="B76" s="25" t="s">
        <v>84</v>
      </c>
      <c r="C76" s="24" t="s">
        <v>74</v>
      </c>
      <c r="D76" s="37"/>
      <c r="E76" s="37">
        <v>2</v>
      </c>
      <c r="F76" s="37">
        <v>2</v>
      </c>
      <c r="G76" s="37">
        <v>2</v>
      </c>
      <c r="H76" s="37">
        <v>2</v>
      </c>
      <c r="I76" s="37">
        <v>2</v>
      </c>
      <c r="J76" s="37">
        <v>2</v>
      </c>
      <c r="K76" s="37">
        <v>2</v>
      </c>
      <c r="L76" s="37">
        <v>2</v>
      </c>
      <c r="M76" s="37">
        <v>2</v>
      </c>
      <c r="N76" s="37">
        <v>2</v>
      </c>
      <c r="O76" s="37">
        <v>2</v>
      </c>
      <c r="P76" s="37">
        <v>2</v>
      </c>
      <c r="Q76" s="37">
        <v>2</v>
      </c>
      <c r="R76" s="37">
        <v>2</v>
      </c>
      <c r="S76" s="37">
        <v>2</v>
      </c>
      <c r="T76" s="37">
        <v>2</v>
      </c>
      <c r="U76" s="37">
        <v>2</v>
      </c>
      <c r="V76" s="37">
        <v>2</v>
      </c>
      <c r="W76" s="37">
        <v>2</v>
      </c>
      <c r="X76" s="37">
        <v>2</v>
      </c>
      <c r="Y76" s="37">
        <v>2</v>
      </c>
      <c r="Z76" s="37">
        <v>2</v>
      </c>
      <c r="AA76" s="22">
        <v>0</v>
      </c>
      <c r="AB76" s="37">
        <v>0</v>
      </c>
      <c r="AC76" s="37">
        <v>0</v>
      </c>
    </row>
    <row r="77" spans="1:29" ht="18" x14ac:dyDescent="0.2">
      <c r="A77" s="95"/>
      <c r="B77" s="25" t="s">
        <v>87</v>
      </c>
      <c r="C77" s="24" t="s">
        <v>65</v>
      </c>
      <c r="D77" s="37"/>
      <c r="E77" s="37">
        <v>1</v>
      </c>
      <c r="F77" s="37">
        <v>1</v>
      </c>
      <c r="G77" s="37">
        <v>1</v>
      </c>
      <c r="H77" s="37">
        <v>1</v>
      </c>
      <c r="I77" s="37">
        <v>1</v>
      </c>
      <c r="J77" s="37">
        <v>1</v>
      </c>
      <c r="K77" s="37">
        <v>1</v>
      </c>
      <c r="L77" s="37">
        <v>1</v>
      </c>
      <c r="M77" s="37">
        <v>1</v>
      </c>
      <c r="N77" s="37">
        <v>1</v>
      </c>
      <c r="O77" s="37">
        <v>1</v>
      </c>
      <c r="P77" s="37">
        <v>1</v>
      </c>
      <c r="Q77" s="37">
        <v>1</v>
      </c>
      <c r="R77" s="37">
        <v>1</v>
      </c>
      <c r="S77" s="37">
        <v>1</v>
      </c>
      <c r="T77" s="37">
        <v>1</v>
      </c>
      <c r="U77" s="37">
        <v>1</v>
      </c>
      <c r="V77" s="37">
        <v>1</v>
      </c>
      <c r="W77" s="37">
        <v>1</v>
      </c>
      <c r="X77" s="37">
        <v>1</v>
      </c>
      <c r="Y77" s="37">
        <v>1</v>
      </c>
      <c r="Z77" s="37">
        <v>1</v>
      </c>
      <c r="AA77" s="22">
        <v>0</v>
      </c>
      <c r="AB77" s="37">
        <v>0</v>
      </c>
      <c r="AC77" s="37">
        <v>0</v>
      </c>
    </row>
    <row r="78" spans="1:29" ht="18" x14ac:dyDescent="0.2">
      <c r="A78" s="95" t="s">
        <v>43</v>
      </c>
      <c r="B78" s="25" t="s">
        <v>48</v>
      </c>
      <c r="C78" s="24" t="s">
        <v>68</v>
      </c>
      <c r="D78" s="37"/>
      <c r="E78" s="37">
        <v>1</v>
      </c>
      <c r="F78" s="37">
        <v>1</v>
      </c>
      <c r="G78" s="37">
        <v>1</v>
      </c>
      <c r="H78" s="37">
        <v>1</v>
      </c>
      <c r="I78" s="37">
        <v>1</v>
      </c>
      <c r="J78" s="37">
        <v>1</v>
      </c>
      <c r="K78" s="37">
        <v>1</v>
      </c>
      <c r="L78" s="37">
        <v>1</v>
      </c>
      <c r="M78" s="37">
        <v>1</v>
      </c>
      <c r="N78" s="37">
        <v>1</v>
      </c>
      <c r="O78" s="37">
        <v>1</v>
      </c>
      <c r="P78" s="37">
        <v>1</v>
      </c>
      <c r="Q78" s="37">
        <v>1</v>
      </c>
      <c r="R78" s="37">
        <v>1</v>
      </c>
      <c r="S78" s="37">
        <v>1</v>
      </c>
      <c r="T78" s="37">
        <v>1</v>
      </c>
      <c r="U78" s="37">
        <v>1</v>
      </c>
      <c r="V78" s="37">
        <v>1</v>
      </c>
      <c r="W78" s="37">
        <v>1</v>
      </c>
      <c r="X78" s="37">
        <v>1</v>
      </c>
      <c r="Y78" s="37">
        <v>1</v>
      </c>
      <c r="Z78" s="37">
        <v>1</v>
      </c>
      <c r="AA78" s="37">
        <v>1</v>
      </c>
      <c r="AB78" s="22">
        <v>0</v>
      </c>
      <c r="AC78" s="37">
        <v>0</v>
      </c>
    </row>
    <row r="79" spans="1:29" ht="18" x14ac:dyDescent="0.2">
      <c r="A79" s="95"/>
      <c r="B79" s="25" t="s">
        <v>20</v>
      </c>
      <c r="C79" s="24" t="s">
        <v>69</v>
      </c>
      <c r="D79" s="37"/>
      <c r="E79" s="37">
        <v>1</v>
      </c>
      <c r="F79" s="37">
        <v>1</v>
      </c>
      <c r="G79" s="37">
        <v>1</v>
      </c>
      <c r="H79" s="37">
        <v>1</v>
      </c>
      <c r="I79" s="37">
        <v>1</v>
      </c>
      <c r="J79" s="37">
        <v>1</v>
      </c>
      <c r="K79" s="37">
        <v>1</v>
      </c>
      <c r="L79" s="37">
        <v>1</v>
      </c>
      <c r="M79" s="37">
        <v>1</v>
      </c>
      <c r="N79" s="37">
        <v>1</v>
      </c>
      <c r="O79" s="37">
        <v>1</v>
      </c>
      <c r="P79" s="37">
        <v>1</v>
      </c>
      <c r="Q79" s="37">
        <v>1</v>
      </c>
      <c r="R79" s="37">
        <v>1</v>
      </c>
      <c r="S79" s="37">
        <v>1</v>
      </c>
      <c r="T79" s="37">
        <v>1</v>
      </c>
      <c r="U79" s="37">
        <v>1</v>
      </c>
      <c r="V79" s="37">
        <v>1</v>
      </c>
      <c r="W79" s="37">
        <v>1</v>
      </c>
      <c r="X79" s="37">
        <v>1</v>
      </c>
      <c r="Y79" s="37">
        <v>1</v>
      </c>
      <c r="Z79" s="37">
        <v>1</v>
      </c>
      <c r="AA79" s="37">
        <v>1</v>
      </c>
      <c r="AB79" s="22">
        <v>0</v>
      </c>
      <c r="AC79" s="37">
        <v>0</v>
      </c>
    </row>
    <row r="80" spans="1:29" ht="18" x14ac:dyDescent="0.2">
      <c r="A80" s="95"/>
      <c r="B80" s="25" t="s">
        <v>19</v>
      </c>
      <c r="C80" s="24" t="s">
        <v>67</v>
      </c>
      <c r="D80" s="37"/>
      <c r="E80" s="37">
        <v>1</v>
      </c>
      <c r="F80" s="37">
        <v>1</v>
      </c>
      <c r="G80" s="37">
        <v>1</v>
      </c>
      <c r="H80" s="37">
        <v>1</v>
      </c>
      <c r="I80" s="37">
        <v>1</v>
      </c>
      <c r="J80" s="37">
        <v>1</v>
      </c>
      <c r="K80" s="37">
        <v>1</v>
      </c>
      <c r="L80" s="37">
        <v>1</v>
      </c>
      <c r="M80" s="37">
        <v>1</v>
      </c>
      <c r="N80" s="37">
        <v>1</v>
      </c>
      <c r="O80" s="37">
        <v>1</v>
      </c>
      <c r="P80" s="37">
        <v>1</v>
      </c>
      <c r="Q80" s="37">
        <v>1</v>
      </c>
      <c r="R80" s="37">
        <v>1</v>
      </c>
      <c r="S80" s="37">
        <v>1</v>
      </c>
      <c r="T80" s="37">
        <v>1</v>
      </c>
      <c r="U80" s="37">
        <v>1</v>
      </c>
      <c r="V80" s="37">
        <v>1</v>
      </c>
      <c r="W80" s="37">
        <v>1</v>
      </c>
      <c r="X80" s="37">
        <v>1</v>
      </c>
      <c r="Y80" s="37">
        <v>1</v>
      </c>
      <c r="Z80" s="37">
        <v>1</v>
      </c>
      <c r="AA80" s="37">
        <v>1</v>
      </c>
      <c r="AB80" s="22">
        <v>0</v>
      </c>
      <c r="AC80" s="37">
        <v>0</v>
      </c>
    </row>
    <row r="81" spans="1:29" ht="18" x14ac:dyDescent="0.2">
      <c r="A81" s="95"/>
      <c r="B81" s="25" t="s">
        <v>81</v>
      </c>
      <c r="C81" s="24" t="s">
        <v>68</v>
      </c>
      <c r="D81" s="37"/>
      <c r="E81" s="37">
        <v>1</v>
      </c>
      <c r="F81" s="37">
        <v>1</v>
      </c>
      <c r="G81" s="37">
        <v>1</v>
      </c>
      <c r="H81" s="37">
        <v>1</v>
      </c>
      <c r="I81" s="37">
        <v>1</v>
      </c>
      <c r="J81" s="37">
        <v>1</v>
      </c>
      <c r="K81" s="37">
        <v>1</v>
      </c>
      <c r="L81" s="37">
        <v>1</v>
      </c>
      <c r="M81" s="37">
        <v>1</v>
      </c>
      <c r="N81" s="37">
        <v>1</v>
      </c>
      <c r="O81" s="37">
        <v>1</v>
      </c>
      <c r="P81" s="37">
        <v>1</v>
      </c>
      <c r="Q81" s="37">
        <v>1</v>
      </c>
      <c r="R81" s="37">
        <v>1</v>
      </c>
      <c r="S81" s="37">
        <v>1</v>
      </c>
      <c r="T81" s="37">
        <v>1</v>
      </c>
      <c r="U81" s="37">
        <v>1</v>
      </c>
      <c r="V81" s="37">
        <v>1</v>
      </c>
      <c r="W81" s="37">
        <v>1</v>
      </c>
      <c r="X81" s="37">
        <v>1</v>
      </c>
      <c r="Y81" s="37">
        <v>1</v>
      </c>
      <c r="Z81" s="37">
        <v>1</v>
      </c>
      <c r="AA81" s="37">
        <v>1</v>
      </c>
      <c r="AB81" s="22">
        <v>0</v>
      </c>
      <c r="AC81" s="37">
        <v>0</v>
      </c>
    </row>
    <row r="82" spans="1:29" ht="18" x14ac:dyDescent="0.2">
      <c r="A82" s="95"/>
      <c r="B82" s="25" t="s">
        <v>82</v>
      </c>
      <c r="C82" s="24" t="s">
        <v>69</v>
      </c>
      <c r="D82" s="37"/>
      <c r="E82" s="37">
        <v>1</v>
      </c>
      <c r="F82" s="37">
        <v>1</v>
      </c>
      <c r="G82" s="37">
        <v>1</v>
      </c>
      <c r="H82" s="37">
        <v>1</v>
      </c>
      <c r="I82" s="37">
        <v>1</v>
      </c>
      <c r="J82" s="37">
        <v>1</v>
      </c>
      <c r="K82" s="37">
        <v>1</v>
      </c>
      <c r="L82" s="37">
        <v>1</v>
      </c>
      <c r="M82" s="37">
        <v>1</v>
      </c>
      <c r="N82" s="37">
        <v>1</v>
      </c>
      <c r="O82" s="37">
        <v>1</v>
      </c>
      <c r="P82" s="37">
        <v>1</v>
      </c>
      <c r="Q82" s="37">
        <v>1</v>
      </c>
      <c r="R82" s="37">
        <v>1</v>
      </c>
      <c r="S82" s="37">
        <v>1</v>
      </c>
      <c r="T82" s="37">
        <v>1</v>
      </c>
      <c r="U82" s="37">
        <v>1</v>
      </c>
      <c r="V82" s="37">
        <v>1</v>
      </c>
      <c r="W82" s="37">
        <v>1</v>
      </c>
      <c r="X82" s="37">
        <v>1</v>
      </c>
      <c r="Y82" s="37">
        <v>1</v>
      </c>
      <c r="Z82" s="37">
        <v>1</v>
      </c>
      <c r="AA82" s="37">
        <v>1</v>
      </c>
      <c r="AB82" s="22">
        <v>0</v>
      </c>
      <c r="AC82" s="37">
        <v>0</v>
      </c>
    </row>
    <row r="83" spans="1:29" ht="18" x14ac:dyDescent="0.2">
      <c r="A83" s="95"/>
      <c r="B83" s="25" t="s">
        <v>21</v>
      </c>
      <c r="C83" s="24" t="s">
        <v>67</v>
      </c>
      <c r="D83" s="37"/>
      <c r="E83" s="37">
        <v>1</v>
      </c>
      <c r="F83" s="37">
        <v>1</v>
      </c>
      <c r="G83" s="37">
        <v>1</v>
      </c>
      <c r="H83" s="37">
        <v>1</v>
      </c>
      <c r="I83" s="37">
        <v>1</v>
      </c>
      <c r="J83" s="37">
        <v>1</v>
      </c>
      <c r="K83" s="37">
        <v>1</v>
      </c>
      <c r="L83" s="37">
        <v>1</v>
      </c>
      <c r="M83" s="37">
        <v>1</v>
      </c>
      <c r="N83" s="37">
        <v>1</v>
      </c>
      <c r="O83" s="37">
        <v>1</v>
      </c>
      <c r="P83" s="37">
        <v>1</v>
      </c>
      <c r="Q83" s="37">
        <v>1</v>
      </c>
      <c r="R83" s="37">
        <v>1</v>
      </c>
      <c r="S83" s="37">
        <v>1</v>
      </c>
      <c r="T83" s="37">
        <v>1</v>
      </c>
      <c r="U83" s="37">
        <v>1</v>
      </c>
      <c r="V83" s="37">
        <v>1</v>
      </c>
      <c r="W83" s="37">
        <v>1</v>
      </c>
      <c r="X83" s="37">
        <v>1</v>
      </c>
      <c r="Y83" s="37">
        <v>1</v>
      </c>
      <c r="Z83" s="37">
        <v>1</v>
      </c>
      <c r="AA83" s="37">
        <v>1</v>
      </c>
      <c r="AB83" s="22">
        <v>0</v>
      </c>
      <c r="AC83" s="37">
        <v>0</v>
      </c>
    </row>
    <row r="84" spans="1:29" ht="18" x14ac:dyDescent="0.2">
      <c r="A84" s="95"/>
      <c r="B84" s="25" t="s">
        <v>49</v>
      </c>
      <c r="C84" s="24" t="s">
        <v>66</v>
      </c>
      <c r="D84" s="37"/>
      <c r="E84" s="37">
        <v>1</v>
      </c>
      <c r="F84" s="37">
        <v>1</v>
      </c>
      <c r="G84" s="37">
        <v>1</v>
      </c>
      <c r="H84" s="37">
        <v>1</v>
      </c>
      <c r="I84" s="37">
        <v>1</v>
      </c>
      <c r="J84" s="37">
        <v>1</v>
      </c>
      <c r="K84" s="37">
        <v>1</v>
      </c>
      <c r="L84" s="37">
        <v>1</v>
      </c>
      <c r="M84" s="37">
        <v>1</v>
      </c>
      <c r="N84" s="37">
        <v>1</v>
      </c>
      <c r="O84" s="37">
        <v>1</v>
      </c>
      <c r="P84" s="37">
        <v>1</v>
      </c>
      <c r="Q84" s="37">
        <v>1</v>
      </c>
      <c r="R84" s="37">
        <v>1</v>
      </c>
      <c r="S84" s="37">
        <v>1</v>
      </c>
      <c r="T84" s="37">
        <v>1</v>
      </c>
      <c r="U84" s="37">
        <v>1</v>
      </c>
      <c r="V84" s="37">
        <v>1</v>
      </c>
      <c r="W84" s="37">
        <v>1</v>
      </c>
      <c r="X84" s="37">
        <v>1</v>
      </c>
      <c r="Y84" s="37">
        <v>1</v>
      </c>
      <c r="Z84" s="37">
        <v>1</v>
      </c>
      <c r="AA84" s="37">
        <v>1</v>
      </c>
      <c r="AB84" s="22">
        <v>0</v>
      </c>
      <c r="AC84" s="37">
        <v>0</v>
      </c>
    </row>
    <row r="85" spans="1:29" ht="18" x14ac:dyDescent="0.2">
      <c r="A85" s="95"/>
      <c r="B85" s="25" t="s">
        <v>83</v>
      </c>
      <c r="C85" s="24" t="s">
        <v>67</v>
      </c>
      <c r="D85" s="37"/>
      <c r="E85" s="37">
        <v>1</v>
      </c>
      <c r="F85" s="37">
        <v>1</v>
      </c>
      <c r="G85" s="37">
        <v>1</v>
      </c>
      <c r="H85" s="37">
        <v>1</v>
      </c>
      <c r="I85" s="37">
        <v>1</v>
      </c>
      <c r="J85" s="37">
        <v>1</v>
      </c>
      <c r="K85" s="37">
        <v>1</v>
      </c>
      <c r="L85" s="37">
        <v>1</v>
      </c>
      <c r="M85" s="37">
        <v>1</v>
      </c>
      <c r="N85" s="37">
        <v>1</v>
      </c>
      <c r="O85" s="37">
        <v>1</v>
      </c>
      <c r="P85" s="37">
        <v>1</v>
      </c>
      <c r="Q85" s="37">
        <v>1</v>
      </c>
      <c r="R85" s="37">
        <v>1</v>
      </c>
      <c r="S85" s="37">
        <v>1</v>
      </c>
      <c r="T85" s="37">
        <v>1</v>
      </c>
      <c r="U85" s="37">
        <v>1</v>
      </c>
      <c r="V85" s="37">
        <v>1</v>
      </c>
      <c r="W85" s="37">
        <v>1</v>
      </c>
      <c r="X85" s="37">
        <v>1</v>
      </c>
      <c r="Y85" s="37">
        <v>1</v>
      </c>
      <c r="Z85" s="37">
        <v>1</v>
      </c>
      <c r="AA85" s="37">
        <v>1</v>
      </c>
      <c r="AB85" s="22">
        <v>0</v>
      </c>
      <c r="AC85" s="37">
        <v>0</v>
      </c>
    </row>
    <row r="86" spans="1:29" ht="18" x14ac:dyDescent="0.2">
      <c r="A86" s="95"/>
      <c r="B86" s="25" t="s">
        <v>23</v>
      </c>
      <c r="C86" s="24" t="s">
        <v>91</v>
      </c>
      <c r="D86" s="37"/>
      <c r="E86" s="37">
        <v>1</v>
      </c>
      <c r="F86" s="37">
        <v>1</v>
      </c>
      <c r="G86" s="37">
        <v>1</v>
      </c>
      <c r="H86" s="37">
        <v>1</v>
      </c>
      <c r="I86" s="37">
        <v>1</v>
      </c>
      <c r="J86" s="37">
        <v>1</v>
      </c>
      <c r="K86" s="37">
        <v>1</v>
      </c>
      <c r="L86" s="37">
        <v>1</v>
      </c>
      <c r="M86" s="37">
        <v>1</v>
      </c>
      <c r="N86" s="37">
        <v>1</v>
      </c>
      <c r="O86" s="37">
        <v>1</v>
      </c>
      <c r="P86" s="37">
        <v>1</v>
      </c>
      <c r="Q86" s="37">
        <v>1</v>
      </c>
      <c r="R86" s="37">
        <v>1</v>
      </c>
      <c r="S86" s="37">
        <v>1</v>
      </c>
      <c r="T86" s="37">
        <v>1</v>
      </c>
      <c r="U86" s="37">
        <v>1</v>
      </c>
      <c r="V86" s="37">
        <v>1</v>
      </c>
      <c r="W86" s="37">
        <v>1</v>
      </c>
      <c r="X86" s="37">
        <v>1</v>
      </c>
      <c r="Y86" s="37">
        <v>1</v>
      </c>
      <c r="Z86" s="37">
        <v>1</v>
      </c>
      <c r="AA86" s="37">
        <v>1</v>
      </c>
      <c r="AB86" s="22">
        <v>0</v>
      </c>
      <c r="AC86" s="37">
        <v>0</v>
      </c>
    </row>
    <row r="87" spans="1:29" ht="18" x14ac:dyDescent="0.2">
      <c r="A87" s="95"/>
      <c r="B87" s="25" t="s">
        <v>84</v>
      </c>
      <c r="C87" s="24" t="s">
        <v>90</v>
      </c>
      <c r="D87" s="37"/>
      <c r="E87" s="37">
        <v>1</v>
      </c>
      <c r="F87" s="37">
        <v>1</v>
      </c>
      <c r="G87" s="37">
        <v>1</v>
      </c>
      <c r="H87" s="37">
        <v>1</v>
      </c>
      <c r="I87" s="37">
        <v>1</v>
      </c>
      <c r="J87" s="37">
        <v>1</v>
      </c>
      <c r="K87" s="37">
        <v>1</v>
      </c>
      <c r="L87" s="37">
        <v>1</v>
      </c>
      <c r="M87" s="37">
        <v>1</v>
      </c>
      <c r="N87" s="37">
        <v>1</v>
      </c>
      <c r="O87" s="37">
        <v>1</v>
      </c>
      <c r="P87" s="37">
        <v>1</v>
      </c>
      <c r="Q87" s="37">
        <v>1</v>
      </c>
      <c r="R87" s="37">
        <v>1</v>
      </c>
      <c r="S87" s="37">
        <v>1</v>
      </c>
      <c r="T87" s="37">
        <v>1</v>
      </c>
      <c r="U87" s="37">
        <v>1</v>
      </c>
      <c r="V87" s="37">
        <v>1</v>
      </c>
      <c r="W87" s="37">
        <v>1</v>
      </c>
      <c r="X87" s="37">
        <v>1</v>
      </c>
      <c r="Y87" s="37">
        <v>1</v>
      </c>
      <c r="Z87" s="37">
        <v>1</v>
      </c>
      <c r="AA87" s="37">
        <v>1</v>
      </c>
      <c r="AB87" s="22">
        <v>0</v>
      </c>
      <c r="AC87" s="37">
        <v>0</v>
      </c>
    </row>
    <row r="88" spans="1:29" ht="18" x14ac:dyDescent="0.2">
      <c r="A88" s="95"/>
      <c r="B88" s="29" t="s">
        <v>88</v>
      </c>
      <c r="C88" s="24" t="s">
        <v>65</v>
      </c>
      <c r="D88" s="39"/>
      <c r="E88" s="37">
        <v>3</v>
      </c>
      <c r="F88" s="37">
        <v>3</v>
      </c>
      <c r="G88" s="37">
        <v>3</v>
      </c>
      <c r="H88" s="37">
        <v>3</v>
      </c>
      <c r="I88" s="37">
        <v>3</v>
      </c>
      <c r="J88" s="37">
        <v>3</v>
      </c>
      <c r="K88" s="37">
        <v>3</v>
      </c>
      <c r="L88" s="37">
        <v>3</v>
      </c>
      <c r="M88" s="37">
        <v>3</v>
      </c>
      <c r="N88" s="37">
        <v>3</v>
      </c>
      <c r="O88" s="37">
        <v>3</v>
      </c>
      <c r="P88" s="37">
        <v>3</v>
      </c>
      <c r="Q88" s="37">
        <v>3</v>
      </c>
      <c r="R88" s="37">
        <v>3</v>
      </c>
      <c r="S88" s="37">
        <v>3</v>
      </c>
      <c r="T88" s="37">
        <v>3</v>
      </c>
      <c r="U88" s="37">
        <v>3</v>
      </c>
      <c r="V88" s="37">
        <v>3</v>
      </c>
      <c r="W88" s="37">
        <v>3</v>
      </c>
      <c r="X88" s="37">
        <v>3</v>
      </c>
      <c r="Y88" s="37">
        <v>3</v>
      </c>
      <c r="Z88" s="37">
        <v>3</v>
      </c>
      <c r="AA88" s="37">
        <v>3</v>
      </c>
      <c r="AB88" s="37">
        <v>3</v>
      </c>
      <c r="AC88" s="22">
        <v>0</v>
      </c>
    </row>
    <row r="89" spans="1:29" ht="18" x14ac:dyDescent="0.2">
      <c r="A89" s="95"/>
      <c r="B89" s="29" t="s">
        <v>89</v>
      </c>
      <c r="C89" s="24" t="s">
        <v>65</v>
      </c>
      <c r="D89" s="39"/>
      <c r="E89" s="37">
        <v>3</v>
      </c>
      <c r="F89" s="37">
        <v>3</v>
      </c>
      <c r="G89" s="37">
        <v>3</v>
      </c>
      <c r="H89" s="37">
        <v>3</v>
      </c>
      <c r="I89" s="37">
        <v>3</v>
      </c>
      <c r="J89" s="37">
        <v>3</v>
      </c>
      <c r="K89" s="37">
        <v>3</v>
      </c>
      <c r="L89" s="37">
        <v>3</v>
      </c>
      <c r="M89" s="37">
        <v>3</v>
      </c>
      <c r="N89" s="37">
        <v>3</v>
      </c>
      <c r="O89" s="37">
        <v>3</v>
      </c>
      <c r="P89" s="37">
        <v>3</v>
      </c>
      <c r="Q89" s="37">
        <v>3</v>
      </c>
      <c r="R89" s="37">
        <v>3</v>
      </c>
      <c r="S89" s="37">
        <v>3</v>
      </c>
      <c r="T89" s="37">
        <v>3</v>
      </c>
      <c r="U89" s="37">
        <v>3</v>
      </c>
      <c r="V89" s="37">
        <v>3</v>
      </c>
      <c r="W89" s="37">
        <v>3</v>
      </c>
      <c r="X89" s="37">
        <v>3</v>
      </c>
      <c r="Y89" s="37">
        <v>3</v>
      </c>
      <c r="Z89" s="37">
        <v>3</v>
      </c>
      <c r="AA89" s="37">
        <v>3</v>
      </c>
      <c r="AB89" s="37">
        <v>3</v>
      </c>
      <c r="AC89" s="22">
        <v>0</v>
      </c>
    </row>
    <row r="90" spans="1:29" ht="17" x14ac:dyDescent="0.2">
      <c r="A90" s="70" t="s">
        <v>7</v>
      </c>
      <c r="B90" s="71"/>
      <c r="C90" s="72"/>
      <c r="D90" s="37"/>
      <c r="E90" s="37">
        <f>SUM(E19:E89)</f>
        <v>176</v>
      </c>
      <c r="F90" s="37">
        <f t="shared" ref="F90:AB90" si="0">SUM(F19:F89)</f>
        <v>176</v>
      </c>
      <c r="G90" s="37">
        <f t="shared" si="0"/>
        <v>155</v>
      </c>
      <c r="H90" s="37">
        <f t="shared" si="0"/>
        <v>151</v>
      </c>
      <c r="I90" s="37">
        <f t="shared" si="0"/>
        <v>146</v>
      </c>
      <c r="J90" s="37">
        <f t="shared" si="0"/>
        <v>142</v>
      </c>
      <c r="K90" s="37">
        <f t="shared" si="0"/>
        <v>138</v>
      </c>
      <c r="L90" s="37">
        <f t="shared" si="0"/>
        <v>129</v>
      </c>
      <c r="M90" s="37">
        <f t="shared" si="0"/>
        <v>121</v>
      </c>
      <c r="N90" s="37">
        <f t="shared" si="0"/>
        <v>119</v>
      </c>
      <c r="O90" s="37">
        <f t="shared" si="0"/>
        <v>116</v>
      </c>
      <c r="P90" s="37">
        <f t="shared" si="0"/>
        <v>110</v>
      </c>
      <c r="Q90" s="37">
        <f t="shared" si="0"/>
        <v>107</v>
      </c>
      <c r="R90" s="37">
        <f t="shared" si="0"/>
        <v>100</v>
      </c>
      <c r="S90" s="37">
        <f t="shared" si="0"/>
        <v>88</v>
      </c>
      <c r="T90" s="37">
        <f t="shared" si="0"/>
        <v>82</v>
      </c>
      <c r="U90" s="37">
        <f t="shared" si="0"/>
        <v>76</v>
      </c>
      <c r="V90" s="37">
        <f t="shared" si="0"/>
        <v>70</v>
      </c>
      <c r="W90" s="37">
        <f t="shared" si="0"/>
        <v>56</v>
      </c>
      <c r="X90" s="37">
        <f t="shared" si="0"/>
        <v>52</v>
      </c>
      <c r="Y90" s="37">
        <f t="shared" si="0"/>
        <v>33</v>
      </c>
      <c r="Z90" s="37">
        <f t="shared" si="0"/>
        <v>26</v>
      </c>
      <c r="AA90" s="37">
        <f t="shared" si="0"/>
        <v>16</v>
      </c>
      <c r="AB90" s="37">
        <f t="shared" si="0"/>
        <v>6</v>
      </c>
      <c r="AC90" s="37">
        <f t="shared" ref="AC90" si="1">SUM(AC19:AC89)</f>
        <v>0</v>
      </c>
    </row>
    <row r="95" spans="1:29" ht="71" x14ac:dyDescent="0.2">
      <c r="A95" s="9" t="s">
        <v>10</v>
      </c>
      <c r="B95" s="10" t="s">
        <v>11</v>
      </c>
      <c r="C95" s="10" t="s">
        <v>32</v>
      </c>
      <c r="D95" s="10" t="s">
        <v>8</v>
      </c>
      <c r="E95" s="10" t="s">
        <v>7</v>
      </c>
      <c r="F95" s="27">
        <v>45969</v>
      </c>
      <c r="G95" s="27">
        <v>45970</v>
      </c>
      <c r="H95" s="27">
        <v>45971</v>
      </c>
      <c r="I95" s="27">
        <v>45972</v>
      </c>
      <c r="J95" s="27">
        <v>45973</v>
      </c>
      <c r="K95" s="27">
        <v>45974</v>
      </c>
      <c r="L95" s="27">
        <v>45975</v>
      </c>
      <c r="M95" s="27">
        <v>45976</v>
      </c>
      <c r="N95" s="27">
        <v>45977</v>
      </c>
      <c r="O95" s="27">
        <v>45978</v>
      </c>
      <c r="P95" s="27">
        <v>45979</v>
      </c>
      <c r="Q95" s="27">
        <v>45980</v>
      </c>
      <c r="R95" s="27">
        <v>45981</v>
      </c>
      <c r="S95" s="27">
        <v>45982</v>
      </c>
      <c r="T95" s="27">
        <v>45983</v>
      </c>
      <c r="U95" s="27">
        <v>45984</v>
      </c>
      <c r="V95" s="27">
        <v>45985</v>
      </c>
      <c r="W95" s="27">
        <v>45986</v>
      </c>
      <c r="X95" s="27">
        <v>45987</v>
      </c>
      <c r="Y95" s="27">
        <v>45988</v>
      </c>
      <c r="Z95" s="27">
        <v>45989</v>
      </c>
      <c r="AA95" s="27">
        <v>45990</v>
      </c>
      <c r="AB95" s="27">
        <v>45991</v>
      </c>
      <c r="AC95" s="27">
        <v>45992</v>
      </c>
    </row>
    <row r="96" spans="1:29" ht="18" x14ac:dyDescent="0.2">
      <c r="A96" s="95" t="s">
        <v>77</v>
      </c>
      <c r="B96" s="95"/>
      <c r="C96" s="24" t="s">
        <v>65</v>
      </c>
      <c r="D96" s="38">
        <v>4</v>
      </c>
      <c r="E96" s="38"/>
      <c r="F96" s="38">
        <v>4</v>
      </c>
      <c r="G96" s="22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</row>
    <row r="97" spans="1:29" ht="18" x14ac:dyDescent="0.2">
      <c r="A97" s="95" t="s">
        <v>78</v>
      </c>
      <c r="B97" s="95"/>
      <c r="C97" s="24" t="s">
        <v>66</v>
      </c>
      <c r="D97" s="37">
        <v>4</v>
      </c>
      <c r="E97" s="37"/>
      <c r="F97" s="37">
        <v>4</v>
      </c>
      <c r="G97" s="22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</row>
    <row r="98" spans="1:29" ht="18" x14ac:dyDescent="0.2">
      <c r="A98" s="96" t="s">
        <v>79</v>
      </c>
      <c r="B98" s="97"/>
      <c r="C98" s="24" t="s">
        <v>67</v>
      </c>
      <c r="D98" s="37">
        <v>4</v>
      </c>
      <c r="E98" s="37"/>
      <c r="F98" s="37">
        <v>5</v>
      </c>
      <c r="G98" s="57">
        <v>1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</row>
    <row r="99" spans="1:29" ht="18" x14ac:dyDescent="0.2">
      <c r="A99" s="95" t="s">
        <v>80</v>
      </c>
      <c r="B99" s="98"/>
      <c r="C99" s="24" t="s">
        <v>65</v>
      </c>
      <c r="D99" s="37">
        <v>6</v>
      </c>
      <c r="E99" s="23"/>
      <c r="F99" s="23">
        <v>8</v>
      </c>
      <c r="G99" s="57">
        <v>2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</row>
    <row r="100" spans="1:29" ht="18" x14ac:dyDescent="0.2">
      <c r="A100" s="94" t="s">
        <v>35</v>
      </c>
      <c r="B100" s="25" t="s">
        <v>48</v>
      </c>
      <c r="C100" s="24" t="s">
        <v>69</v>
      </c>
      <c r="D100" s="24">
        <v>2</v>
      </c>
      <c r="E100" s="24"/>
      <c r="F100" s="24">
        <v>2</v>
      </c>
      <c r="G100" s="24">
        <v>2</v>
      </c>
      <c r="H100" s="22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</row>
    <row r="101" spans="1:29" ht="18" x14ac:dyDescent="0.2">
      <c r="A101" s="94"/>
      <c r="B101" s="25" t="s">
        <v>20</v>
      </c>
      <c r="C101" s="24" t="s">
        <v>68</v>
      </c>
      <c r="D101" s="24">
        <v>2</v>
      </c>
      <c r="E101" s="24"/>
      <c r="F101" s="24">
        <v>2</v>
      </c>
      <c r="G101" s="24">
        <v>2</v>
      </c>
      <c r="H101" s="22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</row>
    <row r="102" spans="1:29" ht="18" x14ac:dyDescent="0.2">
      <c r="A102" s="94"/>
      <c r="B102" s="25" t="s">
        <v>19</v>
      </c>
      <c r="C102" s="24" t="s">
        <v>66</v>
      </c>
      <c r="D102" s="24">
        <v>2</v>
      </c>
      <c r="E102" s="24"/>
      <c r="F102" s="24">
        <v>2</v>
      </c>
      <c r="G102" s="24">
        <v>2</v>
      </c>
      <c r="H102" s="24">
        <v>2</v>
      </c>
      <c r="I102" s="22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</row>
    <row r="103" spans="1:29" ht="18" x14ac:dyDescent="0.2">
      <c r="A103" s="94"/>
      <c r="B103" s="25" t="s">
        <v>81</v>
      </c>
      <c r="C103" s="24" t="s">
        <v>69</v>
      </c>
      <c r="D103" s="39">
        <v>1</v>
      </c>
      <c r="E103" s="39"/>
      <c r="F103" s="39">
        <v>1</v>
      </c>
      <c r="G103" s="39">
        <v>1</v>
      </c>
      <c r="H103" s="39">
        <v>1</v>
      </c>
      <c r="I103" s="22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</row>
    <row r="104" spans="1:29" ht="18" x14ac:dyDescent="0.2">
      <c r="A104" s="94"/>
      <c r="B104" s="25" t="s">
        <v>82</v>
      </c>
      <c r="C104" s="24" t="s">
        <v>68</v>
      </c>
      <c r="D104" s="24">
        <v>1</v>
      </c>
      <c r="E104" s="24"/>
      <c r="F104" s="24">
        <v>1</v>
      </c>
      <c r="G104" s="24">
        <v>1</v>
      </c>
      <c r="H104" s="24">
        <v>1</v>
      </c>
      <c r="I104" s="22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</row>
    <row r="105" spans="1:29" ht="18" x14ac:dyDescent="0.2">
      <c r="A105" s="94"/>
      <c r="B105" s="25" t="s">
        <v>21</v>
      </c>
      <c r="C105" s="24" t="s">
        <v>66</v>
      </c>
      <c r="D105" s="37">
        <v>1</v>
      </c>
      <c r="E105" s="37"/>
      <c r="F105" s="37">
        <v>1</v>
      </c>
      <c r="G105" s="37">
        <v>1</v>
      </c>
      <c r="H105" s="37">
        <v>1</v>
      </c>
      <c r="I105" s="22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</row>
    <row r="106" spans="1:29" ht="18" x14ac:dyDescent="0.2">
      <c r="A106" s="94"/>
      <c r="B106" s="25" t="s">
        <v>49</v>
      </c>
      <c r="C106" s="24" t="s">
        <v>67</v>
      </c>
      <c r="D106" s="37">
        <v>1</v>
      </c>
      <c r="E106" s="37"/>
      <c r="F106" s="37">
        <v>1</v>
      </c>
      <c r="G106" s="37">
        <v>1</v>
      </c>
      <c r="H106" s="37">
        <v>1</v>
      </c>
      <c r="I106" s="37">
        <v>1</v>
      </c>
      <c r="J106" s="22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</row>
    <row r="107" spans="1:29" ht="18" x14ac:dyDescent="0.2">
      <c r="A107" s="94"/>
      <c r="B107" s="25" t="s">
        <v>83</v>
      </c>
      <c r="C107" s="24" t="s">
        <v>66</v>
      </c>
      <c r="D107" s="37">
        <v>1</v>
      </c>
      <c r="E107" s="37"/>
      <c r="F107" s="37">
        <v>1</v>
      </c>
      <c r="G107" s="37">
        <v>1</v>
      </c>
      <c r="H107" s="37">
        <v>1</v>
      </c>
      <c r="I107" s="37">
        <v>1</v>
      </c>
      <c r="J107" s="22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</row>
    <row r="108" spans="1:29" ht="18" x14ac:dyDescent="0.2">
      <c r="A108" s="94"/>
      <c r="B108" s="25" t="s">
        <v>23</v>
      </c>
      <c r="C108" s="24" t="s">
        <v>90</v>
      </c>
      <c r="D108" s="37">
        <v>2</v>
      </c>
      <c r="E108" s="37"/>
      <c r="F108" s="37">
        <v>2</v>
      </c>
      <c r="G108" s="37">
        <v>2</v>
      </c>
      <c r="H108" s="37">
        <v>2</v>
      </c>
      <c r="I108" s="37">
        <v>2</v>
      </c>
      <c r="J108" s="22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</row>
    <row r="109" spans="1:29" ht="18" x14ac:dyDescent="0.2">
      <c r="A109" s="94"/>
      <c r="B109" s="25" t="s">
        <v>84</v>
      </c>
      <c r="C109" s="24" t="s">
        <v>91</v>
      </c>
      <c r="D109" s="37">
        <v>2</v>
      </c>
      <c r="E109" s="37"/>
      <c r="F109" s="37">
        <v>2</v>
      </c>
      <c r="G109" s="37">
        <v>2</v>
      </c>
      <c r="H109" s="37">
        <v>2</v>
      </c>
      <c r="I109" s="37">
        <v>2</v>
      </c>
      <c r="J109" s="37">
        <v>2</v>
      </c>
      <c r="K109" s="22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</row>
    <row r="110" spans="1:29" ht="18" x14ac:dyDescent="0.2">
      <c r="A110" s="94"/>
      <c r="B110" s="25" t="s">
        <v>85</v>
      </c>
      <c r="C110" s="24" t="s">
        <v>65</v>
      </c>
      <c r="D110" s="37">
        <v>2</v>
      </c>
      <c r="E110" s="37"/>
      <c r="F110" s="37">
        <v>2</v>
      </c>
      <c r="G110" s="37">
        <v>2</v>
      </c>
      <c r="H110" s="37">
        <v>2</v>
      </c>
      <c r="I110" s="37">
        <v>2</v>
      </c>
      <c r="J110" s="37">
        <v>2</v>
      </c>
      <c r="K110" s="22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</row>
    <row r="111" spans="1:29" ht="18" x14ac:dyDescent="0.2">
      <c r="A111" s="95" t="s">
        <v>45</v>
      </c>
      <c r="B111" s="25" t="s">
        <v>48</v>
      </c>
      <c r="C111" s="24" t="s">
        <v>71</v>
      </c>
      <c r="D111" s="37">
        <v>2</v>
      </c>
      <c r="E111" s="37"/>
      <c r="F111" s="37">
        <v>2</v>
      </c>
      <c r="G111" s="37">
        <v>2</v>
      </c>
      <c r="H111" s="37">
        <v>2</v>
      </c>
      <c r="I111" s="37">
        <v>2</v>
      </c>
      <c r="J111" s="37">
        <v>2</v>
      </c>
      <c r="K111" s="37">
        <v>2</v>
      </c>
      <c r="L111" s="22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</row>
    <row r="112" spans="1:29" ht="18" x14ac:dyDescent="0.2">
      <c r="A112" s="95"/>
      <c r="B112" s="25" t="s">
        <v>20</v>
      </c>
      <c r="C112" s="24" t="s">
        <v>76</v>
      </c>
      <c r="D112" s="37">
        <v>2</v>
      </c>
      <c r="E112" s="37"/>
      <c r="F112" s="37">
        <v>2</v>
      </c>
      <c r="G112" s="37">
        <v>2</v>
      </c>
      <c r="H112" s="37">
        <v>2</v>
      </c>
      <c r="I112" s="37">
        <v>2</v>
      </c>
      <c r="J112" s="37">
        <v>2</v>
      </c>
      <c r="K112" s="37">
        <v>2</v>
      </c>
      <c r="L112" s="22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</row>
    <row r="113" spans="1:29" ht="18" x14ac:dyDescent="0.2">
      <c r="A113" s="95"/>
      <c r="B113" s="25" t="s">
        <v>19</v>
      </c>
      <c r="C113" s="24" t="s">
        <v>71</v>
      </c>
      <c r="D113" s="37">
        <v>1</v>
      </c>
      <c r="E113" s="37"/>
      <c r="F113" s="37">
        <v>1</v>
      </c>
      <c r="G113" s="37">
        <v>1</v>
      </c>
      <c r="H113" s="37">
        <v>1</v>
      </c>
      <c r="I113" s="37">
        <v>1</v>
      </c>
      <c r="J113" s="37">
        <v>1</v>
      </c>
      <c r="K113" s="37">
        <v>1</v>
      </c>
      <c r="L113" s="22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</row>
    <row r="114" spans="1:29" ht="18" x14ac:dyDescent="0.2">
      <c r="A114" s="95"/>
      <c r="B114" s="25" t="s">
        <v>81</v>
      </c>
      <c r="C114" s="24" t="s">
        <v>70</v>
      </c>
      <c r="D114" s="37">
        <v>1</v>
      </c>
      <c r="E114" s="37"/>
      <c r="F114" s="37">
        <v>1</v>
      </c>
      <c r="G114" s="37">
        <v>1</v>
      </c>
      <c r="H114" s="37">
        <v>1</v>
      </c>
      <c r="I114" s="37">
        <v>1</v>
      </c>
      <c r="J114" s="37">
        <v>1</v>
      </c>
      <c r="K114" s="37">
        <v>1</v>
      </c>
      <c r="L114" s="22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</row>
    <row r="115" spans="1:29" ht="18" x14ac:dyDescent="0.2">
      <c r="A115" s="95"/>
      <c r="B115" s="25" t="s">
        <v>82</v>
      </c>
      <c r="C115" s="24" t="s">
        <v>74</v>
      </c>
      <c r="D115" s="37">
        <v>1</v>
      </c>
      <c r="E115" s="37"/>
      <c r="F115" s="37">
        <v>1</v>
      </c>
      <c r="G115" s="37">
        <v>1</v>
      </c>
      <c r="H115" s="37">
        <v>1</v>
      </c>
      <c r="I115" s="37">
        <v>1</v>
      </c>
      <c r="J115" s="37">
        <v>1</v>
      </c>
      <c r="K115" s="37">
        <v>1</v>
      </c>
      <c r="L115" s="22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</row>
    <row r="116" spans="1:29" ht="18" x14ac:dyDescent="0.2">
      <c r="A116" s="95"/>
      <c r="B116" s="25" t="s">
        <v>21</v>
      </c>
      <c r="C116" s="24" t="s">
        <v>74</v>
      </c>
      <c r="D116" s="37">
        <v>2</v>
      </c>
      <c r="E116" s="37"/>
      <c r="F116" s="37">
        <v>2</v>
      </c>
      <c r="G116" s="37">
        <v>2</v>
      </c>
      <c r="H116" s="37">
        <v>2</v>
      </c>
      <c r="I116" s="37">
        <v>2</v>
      </c>
      <c r="J116" s="37">
        <v>2</v>
      </c>
      <c r="K116" s="37">
        <v>2</v>
      </c>
      <c r="L116" s="22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</row>
    <row r="117" spans="1:29" ht="18" x14ac:dyDescent="0.2">
      <c r="A117" s="95"/>
      <c r="B117" s="25" t="s">
        <v>49</v>
      </c>
      <c r="C117" s="24" t="s">
        <v>76</v>
      </c>
      <c r="D117" s="37">
        <v>2</v>
      </c>
      <c r="E117" s="37"/>
      <c r="F117" s="37">
        <v>2</v>
      </c>
      <c r="G117" s="37">
        <v>2</v>
      </c>
      <c r="H117" s="37">
        <v>2</v>
      </c>
      <c r="I117" s="37">
        <v>2</v>
      </c>
      <c r="J117" s="37">
        <v>2</v>
      </c>
      <c r="K117" s="37">
        <v>2</v>
      </c>
      <c r="L117" s="37">
        <v>2</v>
      </c>
      <c r="M117" s="22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</row>
    <row r="118" spans="1:29" ht="18" x14ac:dyDescent="0.2">
      <c r="A118" s="95"/>
      <c r="B118" s="25" t="s">
        <v>83</v>
      </c>
      <c r="C118" s="24" t="s">
        <v>74</v>
      </c>
      <c r="D118" s="37">
        <v>2</v>
      </c>
      <c r="E118" s="37"/>
      <c r="F118" s="37">
        <v>2</v>
      </c>
      <c r="G118" s="37">
        <v>2</v>
      </c>
      <c r="H118" s="37">
        <v>2</v>
      </c>
      <c r="I118" s="37">
        <v>2</v>
      </c>
      <c r="J118" s="37">
        <v>2</v>
      </c>
      <c r="K118" s="37">
        <v>2</v>
      </c>
      <c r="L118" s="37">
        <v>2</v>
      </c>
      <c r="M118" s="22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</row>
    <row r="119" spans="1:29" ht="18" x14ac:dyDescent="0.2">
      <c r="A119" s="95"/>
      <c r="B119" s="25" t="s">
        <v>23</v>
      </c>
      <c r="C119" s="24" t="s">
        <v>70</v>
      </c>
      <c r="D119" s="37">
        <v>1</v>
      </c>
      <c r="E119" s="37"/>
      <c r="F119" s="37">
        <v>1</v>
      </c>
      <c r="G119" s="37">
        <v>1</v>
      </c>
      <c r="H119" s="37">
        <v>1</v>
      </c>
      <c r="I119" s="37">
        <v>1</v>
      </c>
      <c r="J119" s="37">
        <v>1</v>
      </c>
      <c r="K119" s="37">
        <v>1</v>
      </c>
      <c r="L119" s="37">
        <v>1</v>
      </c>
      <c r="M119" s="22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</row>
    <row r="120" spans="1:29" ht="18" x14ac:dyDescent="0.2">
      <c r="A120" s="95"/>
      <c r="B120" s="25" t="s">
        <v>84</v>
      </c>
      <c r="C120" s="24" t="s">
        <v>76</v>
      </c>
      <c r="D120" s="37">
        <v>3</v>
      </c>
      <c r="E120" s="37"/>
      <c r="F120" s="37">
        <v>3</v>
      </c>
      <c r="G120" s="37">
        <v>3</v>
      </c>
      <c r="H120" s="37">
        <v>3</v>
      </c>
      <c r="I120" s="37">
        <v>3</v>
      </c>
      <c r="J120" s="37">
        <v>3</v>
      </c>
      <c r="K120" s="37">
        <v>3</v>
      </c>
      <c r="L120" s="37">
        <v>3</v>
      </c>
      <c r="M120" s="22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</row>
    <row r="121" spans="1:29" ht="18" x14ac:dyDescent="0.2">
      <c r="A121" s="95"/>
      <c r="B121" s="25" t="s">
        <v>50</v>
      </c>
      <c r="C121" s="24" t="s">
        <v>65</v>
      </c>
      <c r="D121" s="37">
        <v>2</v>
      </c>
      <c r="E121" s="37"/>
      <c r="F121" s="37">
        <v>2</v>
      </c>
      <c r="G121" s="37">
        <v>2</v>
      </c>
      <c r="H121" s="37">
        <v>2</v>
      </c>
      <c r="I121" s="37">
        <v>2</v>
      </c>
      <c r="J121" s="37">
        <v>2</v>
      </c>
      <c r="K121" s="37">
        <v>2</v>
      </c>
      <c r="L121" s="37">
        <v>2</v>
      </c>
      <c r="M121" s="37">
        <v>2</v>
      </c>
      <c r="N121" s="22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</row>
    <row r="122" spans="1:29" ht="18" x14ac:dyDescent="0.2">
      <c r="A122" s="95" t="s">
        <v>40</v>
      </c>
      <c r="B122" s="25" t="s">
        <v>48</v>
      </c>
      <c r="C122" s="24" t="s">
        <v>69</v>
      </c>
      <c r="D122" s="37">
        <v>6</v>
      </c>
      <c r="E122" s="37"/>
      <c r="F122" s="37">
        <v>6</v>
      </c>
      <c r="G122" s="37">
        <v>6</v>
      </c>
      <c r="H122" s="37">
        <v>6</v>
      </c>
      <c r="I122" s="37">
        <v>6</v>
      </c>
      <c r="J122" s="37">
        <v>6</v>
      </c>
      <c r="K122" s="37">
        <v>6</v>
      </c>
      <c r="L122" s="37">
        <v>6</v>
      </c>
      <c r="M122" s="37">
        <v>6</v>
      </c>
      <c r="N122" s="37">
        <v>6</v>
      </c>
      <c r="O122" s="37">
        <v>3</v>
      </c>
      <c r="P122" s="22">
        <v>0</v>
      </c>
      <c r="Q122" s="62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</row>
    <row r="123" spans="1:29" ht="18" x14ac:dyDescent="0.2">
      <c r="A123" s="95"/>
      <c r="B123" s="25" t="s">
        <v>20</v>
      </c>
      <c r="C123" s="24" t="s">
        <v>68</v>
      </c>
      <c r="D123" s="37">
        <v>6</v>
      </c>
      <c r="E123" s="37"/>
      <c r="F123" s="37">
        <v>6</v>
      </c>
      <c r="G123" s="37">
        <v>6</v>
      </c>
      <c r="H123" s="37">
        <v>6</v>
      </c>
      <c r="I123" s="37">
        <v>6</v>
      </c>
      <c r="J123" s="37">
        <v>6</v>
      </c>
      <c r="K123" s="37">
        <v>6</v>
      </c>
      <c r="L123" s="37">
        <v>6</v>
      </c>
      <c r="M123" s="37">
        <v>6</v>
      </c>
      <c r="N123" s="37">
        <v>6</v>
      </c>
      <c r="O123" s="37">
        <v>6</v>
      </c>
      <c r="P123" s="37">
        <v>3</v>
      </c>
      <c r="Q123" s="22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</row>
    <row r="124" spans="1:29" ht="18" x14ac:dyDescent="0.2">
      <c r="A124" s="95"/>
      <c r="B124" s="25" t="s">
        <v>19</v>
      </c>
      <c r="C124" s="24" t="s">
        <v>67</v>
      </c>
      <c r="D124" s="38">
        <v>5</v>
      </c>
      <c r="E124" s="37"/>
      <c r="F124" s="37">
        <v>7</v>
      </c>
      <c r="G124" s="37">
        <v>7</v>
      </c>
      <c r="H124" s="37">
        <v>7</v>
      </c>
      <c r="I124" s="37">
        <v>7</v>
      </c>
      <c r="J124" s="37">
        <v>7</v>
      </c>
      <c r="K124" s="37">
        <v>7</v>
      </c>
      <c r="L124" s="37">
        <v>7</v>
      </c>
      <c r="M124" s="37">
        <v>7</v>
      </c>
      <c r="N124" s="37">
        <v>7</v>
      </c>
      <c r="O124" s="37">
        <v>7</v>
      </c>
      <c r="P124" s="37">
        <v>7</v>
      </c>
      <c r="Q124" s="37">
        <v>7</v>
      </c>
      <c r="R124" s="48">
        <v>2</v>
      </c>
      <c r="S124" s="62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</row>
    <row r="125" spans="1:29" ht="18" x14ac:dyDescent="0.2">
      <c r="A125" s="95"/>
      <c r="B125" s="25" t="s">
        <v>81</v>
      </c>
      <c r="C125" s="24" t="s">
        <v>91</v>
      </c>
      <c r="D125" s="37">
        <v>6</v>
      </c>
      <c r="E125" s="37"/>
      <c r="F125" s="37">
        <v>6</v>
      </c>
      <c r="G125" s="37">
        <v>6</v>
      </c>
      <c r="H125" s="37">
        <v>6</v>
      </c>
      <c r="I125" s="37">
        <v>6</v>
      </c>
      <c r="J125" s="37">
        <v>6</v>
      </c>
      <c r="K125" s="37">
        <v>6</v>
      </c>
      <c r="L125" s="37">
        <v>6</v>
      </c>
      <c r="M125" s="37">
        <v>6</v>
      </c>
      <c r="N125" s="37">
        <v>6</v>
      </c>
      <c r="O125" s="37">
        <v>6</v>
      </c>
      <c r="P125" s="37">
        <v>6</v>
      </c>
      <c r="Q125" s="37">
        <v>6</v>
      </c>
      <c r="R125" s="37">
        <v>6</v>
      </c>
      <c r="S125" s="22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</row>
    <row r="126" spans="1:29" ht="18" x14ac:dyDescent="0.2">
      <c r="A126" s="95"/>
      <c r="B126" s="25" t="s">
        <v>82</v>
      </c>
      <c r="C126" s="24" t="s">
        <v>68</v>
      </c>
      <c r="D126" s="37">
        <v>6</v>
      </c>
      <c r="E126" s="37"/>
      <c r="F126" s="37">
        <v>6</v>
      </c>
      <c r="G126" s="37">
        <v>6</v>
      </c>
      <c r="H126" s="37">
        <v>6</v>
      </c>
      <c r="I126" s="37">
        <v>6</v>
      </c>
      <c r="J126" s="37">
        <v>6</v>
      </c>
      <c r="K126" s="37">
        <v>6</v>
      </c>
      <c r="L126" s="37">
        <v>6</v>
      </c>
      <c r="M126" s="37">
        <v>6</v>
      </c>
      <c r="N126" s="37">
        <v>6</v>
      </c>
      <c r="O126" s="37">
        <v>6</v>
      </c>
      <c r="P126" s="37">
        <v>6</v>
      </c>
      <c r="Q126" s="37">
        <v>6</v>
      </c>
      <c r="R126" s="37">
        <v>6</v>
      </c>
      <c r="S126" s="22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</row>
    <row r="127" spans="1:29" ht="18" x14ac:dyDescent="0.2">
      <c r="A127" s="95"/>
      <c r="B127" s="25" t="s">
        <v>21</v>
      </c>
      <c r="C127" s="24" t="s">
        <v>66</v>
      </c>
      <c r="D127" s="37">
        <v>6</v>
      </c>
      <c r="E127" s="37"/>
      <c r="F127" s="37">
        <v>6</v>
      </c>
      <c r="G127" s="37">
        <v>6</v>
      </c>
      <c r="H127" s="37">
        <v>6</v>
      </c>
      <c r="I127" s="37">
        <v>6</v>
      </c>
      <c r="J127" s="37">
        <v>6</v>
      </c>
      <c r="K127" s="37">
        <v>6</v>
      </c>
      <c r="L127" s="37">
        <v>6</v>
      </c>
      <c r="M127" s="37">
        <v>6</v>
      </c>
      <c r="N127" s="37">
        <v>6</v>
      </c>
      <c r="O127" s="37">
        <v>6</v>
      </c>
      <c r="P127" s="37">
        <v>6</v>
      </c>
      <c r="Q127" s="37">
        <v>6</v>
      </c>
      <c r="R127" s="37">
        <v>6</v>
      </c>
      <c r="S127" s="37">
        <v>6</v>
      </c>
      <c r="T127" s="22">
        <v>0</v>
      </c>
      <c r="U127" s="62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</row>
    <row r="128" spans="1:29" ht="18" x14ac:dyDescent="0.2">
      <c r="A128" s="95"/>
      <c r="B128" s="25" t="s">
        <v>49</v>
      </c>
      <c r="C128" s="24" t="s">
        <v>67</v>
      </c>
      <c r="D128" s="37">
        <v>6</v>
      </c>
      <c r="E128" s="37"/>
      <c r="F128" s="37">
        <v>6</v>
      </c>
      <c r="G128" s="37">
        <v>6</v>
      </c>
      <c r="H128" s="37">
        <v>6</v>
      </c>
      <c r="I128" s="37">
        <v>6</v>
      </c>
      <c r="J128" s="37">
        <v>6</v>
      </c>
      <c r="K128" s="37">
        <v>6</v>
      </c>
      <c r="L128" s="37">
        <v>6</v>
      </c>
      <c r="M128" s="37">
        <v>6</v>
      </c>
      <c r="N128" s="37">
        <v>6</v>
      </c>
      <c r="O128" s="37">
        <v>6</v>
      </c>
      <c r="P128" s="37">
        <v>6</v>
      </c>
      <c r="Q128" s="37">
        <v>6</v>
      </c>
      <c r="R128" s="37">
        <v>6</v>
      </c>
      <c r="S128" s="37">
        <v>6</v>
      </c>
      <c r="T128" s="37">
        <v>6</v>
      </c>
      <c r="U128" s="22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</row>
    <row r="129" spans="1:29" ht="18" x14ac:dyDescent="0.2">
      <c r="A129" s="95"/>
      <c r="B129" s="25" t="s">
        <v>83</v>
      </c>
      <c r="C129" s="24" t="s">
        <v>66</v>
      </c>
      <c r="D129" s="37">
        <v>6</v>
      </c>
      <c r="E129" s="37"/>
      <c r="F129" s="37">
        <v>6</v>
      </c>
      <c r="G129" s="37">
        <v>6</v>
      </c>
      <c r="H129" s="37">
        <v>6</v>
      </c>
      <c r="I129" s="37">
        <v>6</v>
      </c>
      <c r="J129" s="37">
        <v>6</v>
      </c>
      <c r="K129" s="37">
        <v>6</v>
      </c>
      <c r="L129" s="37">
        <v>6</v>
      </c>
      <c r="M129" s="37">
        <v>6</v>
      </c>
      <c r="N129" s="37">
        <v>6</v>
      </c>
      <c r="O129" s="37">
        <v>6</v>
      </c>
      <c r="P129" s="37">
        <v>6</v>
      </c>
      <c r="Q129" s="37">
        <v>6</v>
      </c>
      <c r="R129" s="37">
        <v>6</v>
      </c>
      <c r="S129" s="37">
        <v>6</v>
      </c>
      <c r="T129" s="37">
        <v>6</v>
      </c>
      <c r="U129" s="37">
        <v>6</v>
      </c>
      <c r="V129" s="22">
        <v>0</v>
      </c>
      <c r="W129" s="62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</row>
    <row r="130" spans="1:29" ht="18" x14ac:dyDescent="0.2">
      <c r="A130" s="95"/>
      <c r="B130" s="25" t="s">
        <v>23</v>
      </c>
      <c r="C130" s="24" t="s">
        <v>90</v>
      </c>
      <c r="D130" s="37">
        <v>6</v>
      </c>
      <c r="E130" s="37"/>
      <c r="F130" s="37">
        <v>6</v>
      </c>
      <c r="G130" s="37">
        <v>6</v>
      </c>
      <c r="H130" s="37">
        <v>6</v>
      </c>
      <c r="I130" s="37">
        <v>6</v>
      </c>
      <c r="J130" s="37">
        <v>6</v>
      </c>
      <c r="K130" s="37">
        <v>6</v>
      </c>
      <c r="L130" s="37">
        <v>6</v>
      </c>
      <c r="M130" s="37">
        <v>6</v>
      </c>
      <c r="N130" s="37">
        <v>6</v>
      </c>
      <c r="O130" s="37">
        <v>6</v>
      </c>
      <c r="P130" s="37">
        <v>6</v>
      </c>
      <c r="Q130" s="37">
        <v>6</v>
      </c>
      <c r="R130" s="37">
        <v>6</v>
      </c>
      <c r="S130" s="37">
        <v>6</v>
      </c>
      <c r="T130" s="37">
        <v>6</v>
      </c>
      <c r="U130" s="37">
        <v>6</v>
      </c>
      <c r="V130" s="37">
        <v>6</v>
      </c>
      <c r="W130" s="22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</row>
    <row r="131" spans="1:29" ht="18" x14ac:dyDescent="0.2">
      <c r="A131" s="95"/>
      <c r="B131" s="25" t="s">
        <v>84</v>
      </c>
      <c r="C131" s="24" t="s">
        <v>91</v>
      </c>
      <c r="D131" s="37">
        <v>8</v>
      </c>
      <c r="E131" s="37"/>
      <c r="F131" s="37">
        <v>8</v>
      </c>
      <c r="G131" s="37">
        <v>8</v>
      </c>
      <c r="H131" s="37">
        <v>8</v>
      </c>
      <c r="I131" s="37">
        <v>8</v>
      </c>
      <c r="J131" s="37">
        <v>8</v>
      </c>
      <c r="K131" s="37">
        <v>8</v>
      </c>
      <c r="L131" s="37">
        <v>8</v>
      </c>
      <c r="M131" s="37">
        <v>8</v>
      </c>
      <c r="N131" s="37">
        <v>8</v>
      </c>
      <c r="O131" s="37">
        <v>8</v>
      </c>
      <c r="P131" s="37">
        <v>8</v>
      </c>
      <c r="Q131" s="37">
        <v>8</v>
      </c>
      <c r="R131" s="37">
        <v>8</v>
      </c>
      <c r="S131" s="37">
        <v>8</v>
      </c>
      <c r="T131" s="37">
        <v>8</v>
      </c>
      <c r="U131" s="37">
        <v>8</v>
      </c>
      <c r="V131" s="37">
        <v>8</v>
      </c>
      <c r="W131" s="22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</row>
    <row r="132" spans="1:29" ht="18" x14ac:dyDescent="0.2">
      <c r="A132" s="95"/>
      <c r="B132" s="28" t="s">
        <v>51</v>
      </c>
      <c r="C132" s="24" t="s">
        <v>65</v>
      </c>
      <c r="D132" s="37">
        <v>4</v>
      </c>
      <c r="E132" s="37"/>
      <c r="F132" s="37">
        <v>4</v>
      </c>
      <c r="G132" s="37">
        <v>4</v>
      </c>
      <c r="H132" s="37">
        <v>4</v>
      </c>
      <c r="I132" s="37">
        <v>4</v>
      </c>
      <c r="J132" s="37">
        <v>4</v>
      </c>
      <c r="K132" s="37">
        <v>4</v>
      </c>
      <c r="L132" s="37">
        <v>4</v>
      </c>
      <c r="M132" s="37">
        <v>4</v>
      </c>
      <c r="N132" s="37">
        <v>4</v>
      </c>
      <c r="O132" s="37">
        <v>4</v>
      </c>
      <c r="P132" s="37">
        <v>4</v>
      </c>
      <c r="Q132" s="37">
        <v>4</v>
      </c>
      <c r="R132" s="37">
        <v>4</v>
      </c>
      <c r="S132" s="37">
        <v>4</v>
      </c>
      <c r="T132" s="37">
        <v>4</v>
      </c>
      <c r="U132" s="37">
        <v>4</v>
      </c>
      <c r="V132" s="37">
        <v>4</v>
      </c>
      <c r="W132" s="37">
        <v>4</v>
      </c>
      <c r="X132" s="22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</row>
    <row r="133" spans="1:29" ht="18" x14ac:dyDescent="0.2">
      <c r="A133" s="95" t="s">
        <v>41</v>
      </c>
      <c r="B133" s="25" t="s">
        <v>48</v>
      </c>
      <c r="C133" s="24" t="s">
        <v>71</v>
      </c>
      <c r="D133" s="37">
        <v>1</v>
      </c>
      <c r="E133" s="37"/>
      <c r="F133" s="37">
        <v>1</v>
      </c>
      <c r="G133" s="37">
        <v>1</v>
      </c>
      <c r="H133" s="37">
        <v>1</v>
      </c>
      <c r="I133" s="37">
        <v>1</v>
      </c>
      <c r="J133" s="37">
        <v>1</v>
      </c>
      <c r="K133" s="37">
        <v>1</v>
      </c>
      <c r="L133" s="37">
        <v>1</v>
      </c>
      <c r="M133" s="37">
        <v>1</v>
      </c>
      <c r="N133" s="37">
        <v>1</v>
      </c>
      <c r="O133" s="37">
        <v>1</v>
      </c>
      <c r="P133" s="37">
        <v>1</v>
      </c>
      <c r="Q133" s="37">
        <v>1</v>
      </c>
      <c r="R133" s="37">
        <v>1</v>
      </c>
      <c r="S133" s="37">
        <v>1</v>
      </c>
      <c r="T133" s="37">
        <v>1</v>
      </c>
      <c r="U133" s="37">
        <v>1</v>
      </c>
      <c r="V133" s="37">
        <v>1</v>
      </c>
      <c r="W133" s="37">
        <v>1</v>
      </c>
      <c r="X133" s="37">
        <v>1</v>
      </c>
      <c r="Y133" s="22">
        <v>0</v>
      </c>
      <c r="Z133" s="37">
        <v>0</v>
      </c>
      <c r="AA133" s="37">
        <v>0</v>
      </c>
      <c r="AB133" s="37">
        <v>0</v>
      </c>
      <c r="AC133" s="37">
        <v>0</v>
      </c>
    </row>
    <row r="134" spans="1:29" ht="18" x14ac:dyDescent="0.2">
      <c r="A134" s="95"/>
      <c r="B134" s="25" t="s">
        <v>20</v>
      </c>
      <c r="C134" s="24" t="s">
        <v>76</v>
      </c>
      <c r="D134" s="37">
        <v>2</v>
      </c>
      <c r="E134" s="37"/>
      <c r="F134" s="37">
        <v>2</v>
      </c>
      <c r="G134" s="37">
        <v>2</v>
      </c>
      <c r="H134" s="37">
        <v>2</v>
      </c>
      <c r="I134" s="37">
        <v>2</v>
      </c>
      <c r="J134" s="37">
        <v>2</v>
      </c>
      <c r="K134" s="37">
        <v>2</v>
      </c>
      <c r="L134" s="37">
        <v>2</v>
      </c>
      <c r="M134" s="37">
        <v>2</v>
      </c>
      <c r="N134" s="37">
        <v>2</v>
      </c>
      <c r="O134" s="37">
        <v>2</v>
      </c>
      <c r="P134" s="37">
        <v>2</v>
      </c>
      <c r="Q134" s="37">
        <v>2</v>
      </c>
      <c r="R134" s="37">
        <v>2</v>
      </c>
      <c r="S134" s="37">
        <v>2</v>
      </c>
      <c r="T134" s="37">
        <v>2</v>
      </c>
      <c r="U134" s="37">
        <v>2</v>
      </c>
      <c r="V134" s="37">
        <v>2</v>
      </c>
      <c r="W134" s="37">
        <v>2</v>
      </c>
      <c r="X134" s="37">
        <v>2</v>
      </c>
      <c r="Y134" s="22">
        <v>0</v>
      </c>
      <c r="Z134" s="37">
        <v>0</v>
      </c>
      <c r="AA134" s="37">
        <v>0</v>
      </c>
      <c r="AB134" s="37">
        <v>0</v>
      </c>
      <c r="AC134" s="37">
        <v>0</v>
      </c>
    </row>
    <row r="135" spans="1:29" ht="18" x14ac:dyDescent="0.2">
      <c r="A135" s="95"/>
      <c r="B135" s="25" t="s">
        <v>19</v>
      </c>
      <c r="C135" s="24" t="s">
        <v>71</v>
      </c>
      <c r="D135" s="37">
        <v>1</v>
      </c>
      <c r="E135" s="37"/>
      <c r="F135" s="37">
        <v>1</v>
      </c>
      <c r="G135" s="37">
        <v>1</v>
      </c>
      <c r="H135" s="37">
        <v>1</v>
      </c>
      <c r="I135" s="37">
        <v>1</v>
      </c>
      <c r="J135" s="37">
        <v>1</v>
      </c>
      <c r="K135" s="37">
        <v>1</v>
      </c>
      <c r="L135" s="37">
        <v>1</v>
      </c>
      <c r="M135" s="37">
        <v>1</v>
      </c>
      <c r="N135" s="37">
        <v>1</v>
      </c>
      <c r="O135" s="37">
        <v>1</v>
      </c>
      <c r="P135" s="37">
        <v>1</v>
      </c>
      <c r="Q135" s="37">
        <v>1</v>
      </c>
      <c r="R135" s="37">
        <v>1</v>
      </c>
      <c r="S135" s="37">
        <v>1</v>
      </c>
      <c r="T135" s="37">
        <v>1</v>
      </c>
      <c r="U135" s="37">
        <v>1</v>
      </c>
      <c r="V135" s="37">
        <v>1</v>
      </c>
      <c r="W135" s="37">
        <v>1</v>
      </c>
      <c r="X135" s="37">
        <v>1</v>
      </c>
      <c r="Y135" s="22">
        <v>0</v>
      </c>
      <c r="Z135" s="37">
        <v>0</v>
      </c>
      <c r="AA135" s="37">
        <v>0</v>
      </c>
      <c r="AB135" s="37">
        <v>0</v>
      </c>
      <c r="AC135" s="37">
        <v>0</v>
      </c>
    </row>
    <row r="136" spans="1:29" ht="18" x14ac:dyDescent="0.2">
      <c r="A136" s="95"/>
      <c r="B136" s="25" t="s">
        <v>81</v>
      </c>
      <c r="C136" s="24" t="s">
        <v>70</v>
      </c>
      <c r="D136" s="37">
        <v>2</v>
      </c>
      <c r="E136" s="37"/>
      <c r="F136" s="37">
        <v>2</v>
      </c>
      <c r="G136" s="37">
        <v>2</v>
      </c>
      <c r="H136" s="37">
        <v>2</v>
      </c>
      <c r="I136" s="37">
        <v>2</v>
      </c>
      <c r="J136" s="37">
        <v>2</v>
      </c>
      <c r="K136" s="37">
        <v>2</v>
      </c>
      <c r="L136" s="37">
        <v>2</v>
      </c>
      <c r="M136" s="37">
        <v>2</v>
      </c>
      <c r="N136" s="37">
        <v>2</v>
      </c>
      <c r="O136" s="37">
        <v>2</v>
      </c>
      <c r="P136" s="37">
        <v>2</v>
      </c>
      <c r="Q136" s="37">
        <v>2</v>
      </c>
      <c r="R136" s="37">
        <v>2</v>
      </c>
      <c r="S136" s="37">
        <v>2</v>
      </c>
      <c r="T136" s="37">
        <v>2</v>
      </c>
      <c r="U136" s="37">
        <v>2</v>
      </c>
      <c r="V136" s="37">
        <v>2</v>
      </c>
      <c r="W136" s="37">
        <v>2</v>
      </c>
      <c r="X136" s="37">
        <v>2</v>
      </c>
      <c r="Y136" s="22">
        <v>0</v>
      </c>
      <c r="Z136" s="37">
        <v>0</v>
      </c>
      <c r="AA136" s="37">
        <v>0</v>
      </c>
      <c r="AB136" s="37">
        <v>0</v>
      </c>
      <c r="AC136" s="37">
        <v>0</v>
      </c>
    </row>
    <row r="137" spans="1:29" ht="18" x14ac:dyDescent="0.2">
      <c r="A137" s="95"/>
      <c r="B137" s="25" t="s">
        <v>82</v>
      </c>
      <c r="C137" s="24" t="s">
        <v>74</v>
      </c>
      <c r="D137" s="37">
        <v>2</v>
      </c>
      <c r="E137" s="37"/>
      <c r="F137" s="37">
        <v>2</v>
      </c>
      <c r="G137" s="37">
        <v>2</v>
      </c>
      <c r="H137" s="37">
        <v>2</v>
      </c>
      <c r="I137" s="37">
        <v>2</v>
      </c>
      <c r="J137" s="37">
        <v>2</v>
      </c>
      <c r="K137" s="37">
        <v>2</v>
      </c>
      <c r="L137" s="37">
        <v>2</v>
      </c>
      <c r="M137" s="37">
        <v>2</v>
      </c>
      <c r="N137" s="37">
        <v>2</v>
      </c>
      <c r="O137" s="37">
        <v>2</v>
      </c>
      <c r="P137" s="37">
        <v>2</v>
      </c>
      <c r="Q137" s="37">
        <v>2</v>
      </c>
      <c r="R137" s="37">
        <v>2</v>
      </c>
      <c r="S137" s="37">
        <v>2</v>
      </c>
      <c r="T137" s="37">
        <v>2</v>
      </c>
      <c r="U137" s="37">
        <v>2</v>
      </c>
      <c r="V137" s="37">
        <v>2</v>
      </c>
      <c r="W137" s="37">
        <v>2</v>
      </c>
      <c r="X137" s="37">
        <v>2</v>
      </c>
      <c r="Y137" s="22">
        <v>0</v>
      </c>
      <c r="Z137" s="37">
        <v>0</v>
      </c>
      <c r="AA137" s="37">
        <v>0</v>
      </c>
      <c r="AB137" s="37">
        <v>0</v>
      </c>
      <c r="AC137" s="37">
        <v>0</v>
      </c>
    </row>
    <row r="138" spans="1:29" ht="18" x14ac:dyDescent="0.2">
      <c r="A138" s="95"/>
      <c r="B138" s="25" t="s">
        <v>21</v>
      </c>
      <c r="C138" s="24" t="s">
        <v>74</v>
      </c>
      <c r="D138" s="37">
        <v>2</v>
      </c>
      <c r="E138" s="37"/>
      <c r="F138" s="37">
        <v>2</v>
      </c>
      <c r="G138" s="37">
        <v>2</v>
      </c>
      <c r="H138" s="37">
        <v>2</v>
      </c>
      <c r="I138" s="37">
        <v>2</v>
      </c>
      <c r="J138" s="37">
        <v>2</v>
      </c>
      <c r="K138" s="37">
        <v>2</v>
      </c>
      <c r="L138" s="37">
        <v>2</v>
      </c>
      <c r="M138" s="37">
        <v>2</v>
      </c>
      <c r="N138" s="37">
        <v>2</v>
      </c>
      <c r="O138" s="37">
        <v>2</v>
      </c>
      <c r="P138" s="37">
        <v>2</v>
      </c>
      <c r="Q138" s="37">
        <v>2</v>
      </c>
      <c r="R138" s="37">
        <v>2</v>
      </c>
      <c r="S138" s="37">
        <v>2</v>
      </c>
      <c r="T138" s="37">
        <v>2</v>
      </c>
      <c r="U138" s="37">
        <v>2</v>
      </c>
      <c r="V138" s="37">
        <v>2</v>
      </c>
      <c r="W138" s="37">
        <v>2</v>
      </c>
      <c r="X138" s="37">
        <v>2</v>
      </c>
      <c r="Y138" s="22">
        <v>0</v>
      </c>
      <c r="Z138" s="37">
        <v>0</v>
      </c>
      <c r="AA138" s="37">
        <v>0</v>
      </c>
      <c r="AB138" s="37">
        <v>0</v>
      </c>
      <c r="AC138" s="37">
        <v>0</v>
      </c>
    </row>
    <row r="139" spans="1:29" ht="18" x14ac:dyDescent="0.2">
      <c r="A139" s="95"/>
      <c r="B139" s="25" t="s">
        <v>49</v>
      </c>
      <c r="C139" s="24" t="s">
        <v>76</v>
      </c>
      <c r="D139" s="37">
        <v>2</v>
      </c>
      <c r="E139" s="37"/>
      <c r="F139" s="37">
        <v>2</v>
      </c>
      <c r="G139" s="37">
        <v>2</v>
      </c>
      <c r="H139" s="37">
        <v>2</v>
      </c>
      <c r="I139" s="37">
        <v>2</v>
      </c>
      <c r="J139" s="37">
        <v>2</v>
      </c>
      <c r="K139" s="37">
        <v>2</v>
      </c>
      <c r="L139" s="37">
        <v>2</v>
      </c>
      <c r="M139" s="37">
        <v>2</v>
      </c>
      <c r="N139" s="37">
        <v>2</v>
      </c>
      <c r="O139" s="37">
        <v>2</v>
      </c>
      <c r="P139" s="37">
        <v>2</v>
      </c>
      <c r="Q139" s="37">
        <v>2</v>
      </c>
      <c r="R139" s="37">
        <v>2</v>
      </c>
      <c r="S139" s="37">
        <v>2</v>
      </c>
      <c r="T139" s="37">
        <v>2</v>
      </c>
      <c r="U139" s="37">
        <v>2</v>
      </c>
      <c r="V139" s="37">
        <v>2</v>
      </c>
      <c r="W139" s="37">
        <v>2</v>
      </c>
      <c r="X139" s="37">
        <v>2</v>
      </c>
      <c r="Y139" s="22">
        <v>0</v>
      </c>
      <c r="Z139" s="37">
        <v>0</v>
      </c>
      <c r="AA139" s="37">
        <v>0</v>
      </c>
      <c r="AB139" s="37">
        <v>0</v>
      </c>
      <c r="AC139" s="37">
        <v>0</v>
      </c>
    </row>
    <row r="140" spans="1:29" ht="18" x14ac:dyDescent="0.2">
      <c r="A140" s="95"/>
      <c r="B140" s="25" t="s">
        <v>83</v>
      </c>
      <c r="C140" s="24" t="s">
        <v>74</v>
      </c>
      <c r="D140" s="37">
        <v>2</v>
      </c>
      <c r="E140" s="37"/>
      <c r="F140" s="37">
        <v>2</v>
      </c>
      <c r="G140" s="37">
        <v>2</v>
      </c>
      <c r="H140" s="37">
        <v>2</v>
      </c>
      <c r="I140" s="37">
        <v>2</v>
      </c>
      <c r="J140" s="37">
        <v>2</v>
      </c>
      <c r="K140" s="37">
        <v>2</v>
      </c>
      <c r="L140" s="37">
        <v>2</v>
      </c>
      <c r="M140" s="37">
        <v>2</v>
      </c>
      <c r="N140" s="37">
        <v>2</v>
      </c>
      <c r="O140" s="37">
        <v>2</v>
      </c>
      <c r="P140" s="37">
        <v>2</v>
      </c>
      <c r="Q140" s="37">
        <v>2</v>
      </c>
      <c r="R140" s="37">
        <v>2</v>
      </c>
      <c r="S140" s="37">
        <v>2</v>
      </c>
      <c r="T140" s="37">
        <v>2</v>
      </c>
      <c r="U140" s="37">
        <v>2</v>
      </c>
      <c r="V140" s="37">
        <v>2</v>
      </c>
      <c r="W140" s="37">
        <v>2</v>
      </c>
      <c r="X140" s="37">
        <v>2</v>
      </c>
      <c r="Y140" s="22">
        <v>0</v>
      </c>
      <c r="Z140" s="37">
        <v>0</v>
      </c>
      <c r="AA140" s="37">
        <v>0</v>
      </c>
      <c r="AB140" s="37">
        <v>0</v>
      </c>
      <c r="AC140" s="37">
        <v>0</v>
      </c>
    </row>
    <row r="141" spans="1:29" ht="18" x14ac:dyDescent="0.2">
      <c r="A141" s="95"/>
      <c r="B141" s="25" t="s">
        <v>23</v>
      </c>
      <c r="C141" s="24" t="s">
        <v>70</v>
      </c>
      <c r="D141" s="37">
        <v>2</v>
      </c>
      <c r="E141" s="37"/>
      <c r="F141" s="37">
        <v>2</v>
      </c>
      <c r="G141" s="37">
        <v>2</v>
      </c>
      <c r="H141" s="37">
        <v>2</v>
      </c>
      <c r="I141" s="37">
        <v>2</v>
      </c>
      <c r="J141" s="37">
        <v>2</v>
      </c>
      <c r="K141" s="37">
        <v>2</v>
      </c>
      <c r="L141" s="37">
        <v>2</v>
      </c>
      <c r="M141" s="37">
        <v>2</v>
      </c>
      <c r="N141" s="37">
        <v>2</v>
      </c>
      <c r="O141" s="37">
        <v>2</v>
      </c>
      <c r="P141" s="37">
        <v>2</v>
      </c>
      <c r="Q141" s="37">
        <v>2</v>
      </c>
      <c r="R141" s="37">
        <v>2</v>
      </c>
      <c r="S141" s="37">
        <v>2</v>
      </c>
      <c r="T141" s="37">
        <v>2</v>
      </c>
      <c r="U141" s="37">
        <v>2</v>
      </c>
      <c r="V141" s="37">
        <v>2</v>
      </c>
      <c r="W141" s="37">
        <v>2</v>
      </c>
      <c r="X141" s="37">
        <v>2</v>
      </c>
      <c r="Y141" s="22">
        <v>0</v>
      </c>
      <c r="Z141" s="37">
        <v>0</v>
      </c>
      <c r="AA141" s="37">
        <v>0</v>
      </c>
      <c r="AB141" s="37">
        <v>0</v>
      </c>
      <c r="AC141" s="37">
        <v>0</v>
      </c>
    </row>
    <row r="142" spans="1:29" ht="18" x14ac:dyDescent="0.2">
      <c r="A142" s="95"/>
      <c r="B142" s="25" t="s">
        <v>84</v>
      </c>
      <c r="C142" s="24" t="s">
        <v>76</v>
      </c>
      <c r="D142" s="37">
        <v>2</v>
      </c>
      <c r="E142" s="37"/>
      <c r="F142" s="37">
        <v>2</v>
      </c>
      <c r="G142" s="37">
        <v>2</v>
      </c>
      <c r="H142" s="37">
        <v>2</v>
      </c>
      <c r="I142" s="37">
        <v>2</v>
      </c>
      <c r="J142" s="37">
        <v>2</v>
      </c>
      <c r="K142" s="37">
        <v>2</v>
      </c>
      <c r="L142" s="37">
        <v>2</v>
      </c>
      <c r="M142" s="37">
        <v>2</v>
      </c>
      <c r="N142" s="37">
        <v>2</v>
      </c>
      <c r="O142" s="37">
        <v>2</v>
      </c>
      <c r="P142" s="37">
        <v>2</v>
      </c>
      <c r="Q142" s="37">
        <v>2</v>
      </c>
      <c r="R142" s="37">
        <v>2</v>
      </c>
      <c r="S142" s="37">
        <v>2</v>
      </c>
      <c r="T142" s="37">
        <v>2</v>
      </c>
      <c r="U142" s="37">
        <v>2</v>
      </c>
      <c r="V142" s="37">
        <v>2</v>
      </c>
      <c r="W142" s="37">
        <v>2</v>
      </c>
      <c r="X142" s="37">
        <v>2</v>
      </c>
      <c r="Y142" s="22">
        <v>0</v>
      </c>
      <c r="Z142" s="37">
        <v>0</v>
      </c>
      <c r="AA142" s="37">
        <v>0</v>
      </c>
      <c r="AB142" s="37">
        <v>0</v>
      </c>
      <c r="AC142" s="37">
        <v>0</v>
      </c>
    </row>
    <row r="143" spans="1:29" ht="18" x14ac:dyDescent="0.2">
      <c r="A143" s="95"/>
      <c r="B143" s="25" t="s">
        <v>86</v>
      </c>
      <c r="C143" s="24" t="s">
        <v>65</v>
      </c>
      <c r="D143" s="37">
        <v>1</v>
      </c>
      <c r="E143" s="37"/>
      <c r="F143" s="37">
        <v>1</v>
      </c>
      <c r="G143" s="37">
        <v>1</v>
      </c>
      <c r="H143" s="37">
        <v>1</v>
      </c>
      <c r="I143" s="37">
        <v>1</v>
      </c>
      <c r="J143" s="37">
        <v>1</v>
      </c>
      <c r="K143" s="37">
        <v>1</v>
      </c>
      <c r="L143" s="37">
        <v>1</v>
      </c>
      <c r="M143" s="37">
        <v>1</v>
      </c>
      <c r="N143" s="37">
        <v>1</v>
      </c>
      <c r="O143" s="37">
        <v>1</v>
      </c>
      <c r="P143" s="37">
        <v>1</v>
      </c>
      <c r="Q143" s="37">
        <v>1</v>
      </c>
      <c r="R143" s="37">
        <v>1</v>
      </c>
      <c r="S143" s="37">
        <v>1</v>
      </c>
      <c r="T143" s="37">
        <v>1</v>
      </c>
      <c r="U143" s="37">
        <v>1</v>
      </c>
      <c r="V143" s="37">
        <v>1</v>
      </c>
      <c r="W143" s="37">
        <v>1</v>
      </c>
      <c r="X143" s="37">
        <v>1</v>
      </c>
      <c r="Y143" s="22">
        <v>0</v>
      </c>
      <c r="Z143" s="37">
        <v>0</v>
      </c>
      <c r="AA143" s="37">
        <v>0</v>
      </c>
      <c r="AB143" s="37">
        <v>0</v>
      </c>
      <c r="AC143" s="37">
        <v>0</v>
      </c>
    </row>
    <row r="144" spans="1:29" ht="18" x14ac:dyDescent="0.2">
      <c r="A144" s="95" t="s">
        <v>42</v>
      </c>
      <c r="B144" s="25" t="s">
        <v>48</v>
      </c>
      <c r="C144" s="24" t="s">
        <v>71</v>
      </c>
      <c r="D144" s="37">
        <v>3</v>
      </c>
      <c r="E144" s="37"/>
      <c r="F144" s="37">
        <v>2</v>
      </c>
      <c r="G144" s="37">
        <v>2</v>
      </c>
      <c r="H144" s="37">
        <v>2</v>
      </c>
      <c r="I144" s="37">
        <v>2</v>
      </c>
      <c r="J144" s="37">
        <v>2</v>
      </c>
      <c r="K144" s="37">
        <v>2</v>
      </c>
      <c r="L144" s="37">
        <v>2</v>
      </c>
      <c r="M144" s="37">
        <v>2</v>
      </c>
      <c r="N144" s="37">
        <v>2</v>
      </c>
      <c r="O144" s="37">
        <v>2</v>
      </c>
      <c r="P144" s="37">
        <v>2</v>
      </c>
      <c r="Q144" s="37">
        <v>2</v>
      </c>
      <c r="R144" s="37">
        <v>2</v>
      </c>
      <c r="S144" s="37">
        <v>2</v>
      </c>
      <c r="T144" s="37">
        <v>2</v>
      </c>
      <c r="U144" s="37">
        <v>2</v>
      </c>
      <c r="V144" s="37">
        <v>2</v>
      </c>
      <c r="W144" s="37">
        <v>2</v>
      </c>
      <c r="X144" s="37">
        <v>2</v>
      </c>
      <c r="Y144" s="37">
        <v>2</v>
      </c>
      <c r="Z144" s="26">
        <v>1</v>
      </c>
      <c r="AA144" s="37">
        <v>0</v>
      </c>
      <c r="AB144" s="37">
        <v>0</v>
      </c>
      <c r="AC144" s="37">
        <v>0</v>
      </c>
    </row>
    <row r="145" spans="1:29" ht="18" x14ac:dyDescent="0.2">
      <c r="A145" s="95"/>
      <c r="B145" s="25" t="s">
        <v>20</v>
      </c>
      <c r="C145" s="24" t="s">
        <v>76</v>
      </c>
      <c r="D145" s="37">
        <v>2</v>
      </c>
      <c r="E145" s="47"/>
      <c r="F145" s="37">
        <v>2</v>
      </c>
      <c r="G145" s="37">
        <v>2</v>
      </c>
      <c r="H145" s="37">
        <v>2</v>
      </c>
      <c r="I145" s="37">
        <v>2</v>
      </c>
      <c r="J145" s="37">
        <v>2</v>
      </c>
      <c r="K145" s="37">
        <v>2</v>
      </c>
      <c r="L145" s="37">
        <v>2</v>
      </c>
      <c r="M145" s="37">
        <v>2</v>
      </c>
      <c r="N145" s="37">
        <v>2</v>
      </c>
      <c r="O145" s="37">
        <v>2</v>
      </c>
      <c r="P145" s="37">
        <v>2</v>
      </c>
      <c r="Q145" s="37">
        <v>2</v>
      </c>
      <c r="R145" s="37">
        <v>2</v>
      </c>
      <c r="S145" s="37">
        <v>2</v>
      </c>
      <c r="T145" s="37">
        <v>2</v>
      </c>
      <c r="U145" s="37">
        <v>2</v>
      </c>
      <c r="V145" s="37">
        <v>2</v>
      </c>
      <c r="W145" s="37">
        <v>2</v>
      </c>
      <c r="X145" s="37">
        <v>2</v>
      </c>
      <c r="Y145" s="37">
        <v>2</v>
      </c>
      <c r="Z145" s="22">
        <v>0</v>
      </c>
      <c r="AA145" s="37">
        <v>0</v>
      </c>
      <c r="AB145" s="37">
        <v>0</v>
      </c>
      <c r="AC145" s="37">
        <v>0</v>
      </c>
    </row>
    <row r="146" spans="1:29" ht="18" x14ac:dyDescent="0.2">
      <c r="A146" s="95"/>
      <c r="B146" s="25" t="s">
        <v>19</v>
      </c>
      <c r="C146" s="24" t="s">
        <v>70</v>
      </c>
      <c r="D146" s="37">
        <v>1</v>
      </c>
      <c r="E146" s="47"/>
      <c r="F146" s="37">
        <v>1</v>
      </c>
      <c r="G146" s="37">
        <v>1</v>
      </c>
      <c r="H146" s="37">
        <v>1</v>
      </c>
      <c r="I146" s="37">
        <v>1</v>
      </c>
      <c r="J146" s="37">
        <v>1</v>
      </c>
      <c r="K146" s="37">
        <v>1</v>
      </c>
      <c r="L146" s="37">
        <v>1</v>
      </c>
      <c r="M146" s="37">
        <v>1</v>
      </c>
      <c r="N146" s="37">
        <v>1</v>
      </c>
      <c r="O146" s="37">
        <v>1</v>
      </c>
      <c r="P146" s="37">
        <v>1</v>
      </c>
      <c r="Q146" s="37">
        <v>1</v>
      </c>
      <c r="R146" s="37">
        <v>1</v>
      </c>
      <c r="S146" s="37">
        <v>1</v>
      </c>
      <c r="T146" s="37">
        <v>1</v>
      </c>
      <c r="U146" s="37">
        <v>1</v>
      </c>
      <c r="V146" s="37">
        <v>1</v>
      </c>
      <c r="W146" s="37">
        <v>1</v>
      </c>
      <c r="X146" s="37">
        <v>1</v>
      </c>
      <c r="Y146" s="37">
        <v>1</v>
      </c>
      <c r="Z146" s="22">
        <v>0</v>
      </c>
      <c r="AA146" s="37">
        <v>0</v>
      </c>
      <c r="AB146" s="37">
        <v>0</v>
      </c>
      <c r="AC146" s="37">
        <v>0</v>
      </c>
    </row>
    <row r="147" spans="1:29" ht="18" x14ac:dyDescent="0.2">
      <c r="A147" s="95"/>
      <c r="B147" s="25" t="s">
        <v>81</v>
      </c>
      <c r="C147" s="24" t="s">
        <v>74</v>
      </c>
      <c r="D147" s="37">
        <v>2</v>
      </c>
      <c r="E147" s="47"/>
      <c r="F147" s="37">
        <v>2</v>
      </c>
      <c r="G147" s="37">
        <v>2</v>
      </c>
      <c r="H147" s="37">
        <v>2</v>
      </c>
      <c r="I147" s="37">
        <v>2</v>
      </c>
      <c r="J147" s="37">
        <v>2</v>
      </c>
      <c r="K147" s="37">
        <v>2</v>
      </c>
      <c r="L147" s="37">
        <v>2</v>
      </c>
      <c r="M147" s="37">
        <v>2</v>
      </c>
      <c r="N147" s="37">
        <v>2</v>
      </c>
      <c r="O147" s="37">
        <v>2</v>
      </c>
      <c r="P147" s="37">
        <v>2</v>
      </c>
      <c r="Q147" s="37">
        <v>2</v>
      </c>
      <c r="R147" s="37">
        <v>2</v>
      </c>
      <c r="S147" s="37">
        <v>2</v>
      </c>
      <c r="T147" s="37">
        <v>2</v>
      </c>
      <c r="U147" s="37">
        <v>2</v>
      </c>
      <c r="V147" s="37">
        <v>2</v>
      </c>
      <c r="W147" s="37">
        <v>2</v>
      </c>
      <c r="X147" s="37">
        <v>2</v>
      </c>
      <c r="Y147" s="37">
        <v>2</v>
      </c>
      <c r="Z147" s="22">
        <v>0</v>
      </c>
      <c r="AA147" s="37">
        <v>0</v>
      </c>
      <c r="AB147" s="37">
        <v>0</v>
      </c>
      <c r="AC147" s="37">
        <v>0</v>
      </c>
    </row>
    <row r="148" spans="1:29" ht="18" x14ac:dyDescent="0.2">
      <c r="A148" s="95"/>
      <c r="B148" s="25" t="s">
        <v>82</v>
      </c>
      <c r="C148" s="24" t="s">
        <v>76</v>
      </c>
      <c r="D148" s="37">
        <v>2</v>
      </c>
      <c r="E148" s="47"/>
      <c r="F148" s="37">
        <v>2</v>
      </c>
      <c r="G148" s="37">
        <v>2</v>
      </c>
      <c r="H148" s="37">
        <v>2</v>
      </c>
      <c r="I148" s="37">
        <v>2</v>
      </c>
      <c r="J148" s="37">
        <v>2</v>
      </c>
      <c r="K148" s="37">
        <v>2</v>
      </c>
      <c r="L148" s="37">
        <v>2</v>
      </c>
      <c r="M148" s="37">
        <v>2</v>
      </c>
      <c r="N148" s="37">
        <v>2</v>
      </c>
      <c r="O148" s="37">
        <v>2</v>
      </c>
      <c r="P148" s="37">
        <v>2</v>
      </c>
      <c r="Q148" s="37">
        <v>2</v>
      </c>
      <c r="R148" s="37">
        <v>2</v>
      </c>
      <c r="S148" s="37">
        <v>2</v>
      </c>
      <c r="T148" s="37">
        <v>2</v>
      </c>
      <c r="U148" s="37">
        <v>2</v>
      </c>
      <c r="V148" s="37">
        <v>2</v>
      </c>
      <c r="W148" s="37">
        <v>2</v>
      </c>
      <c r="X148" s="37">
        <v>2</v>
      </c>
      <c r="Y148" s="37">
        <v>2</v>
      </c>
      <c r="Z148" s="37">
        <v>2</v>
      </c>
      <c r="AA148" s="22">
        <v>0</v>
      </c>
      <c r="AB148" s="37">
        <v>0</v>
      </c>
      <c r="AC148" s="37">
        <v>0</v>
      </c>
    </row>
    <row r="149" spans="1:29" ht="18" x14ac:dyDescent="0.2">
      <c r="A149" s="95"/>
      <c r="B149" s="25" t="s">
        <v>21</v>
      </c>
      <c r="C149" s="24" t="s">
        <v>71</v>
      </c>
      <c r="D149" s="37">
        <v>3</v>
      </c>
      <c r="E149" s="37"/>
      <c r="F149" s="37">
        <v>2</v>
      </c>
      <c r="G149" s="37">
        <v>2</v>
      </c>
      <c r="H149" s="37">
        <v>2</v>
      </c>
      <c r="I149" s="37">
        <v>2</v>
      </c>
      <c r="J149" s="37">
        <v>2</v>
      </c>
      <c r="K149" s="37">
        <v>2</v>
      </c>
      <c r="L149" s="37">
        <v>2</v>
      </c>
      <c r="M149" s="37">
        <v>2</v>
      </c>
      <c r="N149" s="37">
        <v>2</v>
      </c>
      <c r="O149" s="37">
        <v>2</v>
      </c>
      <c r="P149" s="37">
        <v>2</v>
      </c>
      <c r="Q149" s="37">
        <v>2</v>
      </c>
      <c r="R149" s="37">
        <v>2</v>
      </c>
      <c r="S149" s="37">
        <v>2</v>
      </c>
      <c r="T149" s="37">
        <v>2</v>
      </c>
      <c r="U149" s="37">
        <v>2</v>
      </c>
      <c r="V149" s="37">
        <v>2</v>
      </c>
      <c r="W149" s="37">
        <v>2</v>
      </c>
      <c r="X149" s="37">
        <v>2</v>
      </c>
      <c r="Y149" s="37">
        <v>2</v>
      </c>
      <c r="Z149" s="37">
        <v>2</v>
      </c>
      <c r="AA149" s="26">
        <v>1</v>
      </c>
      <c r="AB149" s="37">
        <v>0</v>
      </c>
      <c r="AC149" s="37">
        <v>0</v>
      </c>
    </row>
    <row r="150" spans="1:29" ht="18" x14ac:dyDescent="0.2">
      <c r="A150" s="95"/>
      <c r="B150" s="25" t="s">
        <v>49</v>
      </c>
      <c r="C150" s="24" t="s">
        <v>70</v>
      </c>
      <c r="D150" s="37">
        <v>1</v>
      </c>
      <c r="E150" s="47"/>
      <c r="F150" s="37">
        <v>1</v>
      </c>
      <c r="G150" s="37">
        <v>1</v>
      </c>
      <c r="H150" s="37">
        <v>1</v>
      </c>
      <c r="I150" s="37">
        <v>1</v>
      </c>
      <c r="J150" s="37">
        <v>1</v>
      </c>
      <c r="K150" s="37">
        <v>1</v>
      </c>
      <c r="L150" s="37">
        <v>1</v>
      </c>
      <c r="M150" s="37">
        <v>1</v>
      </c>
      <c r="N150" s="37">
        <v>1</v>
      </c>
      <c r="O150" s="37">
        <v>1</v>
      </c>
      <c r="P150" s="37">
        <v>1</v>
      </c>
      <c r="Q150" s="37">
        <v>1</v>
      </c>
      <c r="R150" s="37">
        <v>1</v>
      </c>
      <c r="S150" s="37">
        <v>1</v>
      </c>
      <c r="T150" s="37">
        <v>1</v>
      </c>
      <c r="U150" s="37">
        <v>1</v>
      </c>
      <c r="V150" s="37">
        <v>1</v>
      </c>
      <c r="W150" s="37">
        <v>1</v>
      </c>
      <c r="X150" s="37">
        <v>1</v>
      </c>
      <c r="Y150" s="37">
        <v>1</v>
      </c>
      <c r="Z150" s="37">
        <v>1</v>
      </c>
      <c r="AA150" s="22">
        <v>0</v>
      </c>
      <c r="AB150" s="37">
        <v>0</v>
      </c>
      <c r="AC150" s="37">
        <v>0</v>
      </c>
    </row>
    <row r="151" spans="1:29" ht="18" x14ac:dyDescent="0.2">
      <c r="A151" s="95"/>
      <c r="B151" s="25" t="s">
        <v>83</v>
      </c>
      <c r="C151" s="24" t="s">
        <v>70</v>
      </c>
      <c r="D151" s="37">
        <v>1</v>
      </c>
      <c r="E151" s="47"/>
      <c r="F151" s="37">
        <v>1</v>
      </c>
      <c r="G151" s="37">
        <v>1</v>
      </c>
      <c r="H151" s="37">
        <v>1</v>
      </c>
      <c r="I151" s="37">
        <v>1</v>
      </c>
      <c r="J151" s="37">
        <v>1</v>
      </c>
      <c r="K151" s="37">
        <v>1</v>
      </c>
      <c r="L151" s="37">
        <v>1</v>
      </c>
      <c r="M151" s="37">
        <v>1</v>
      </c>
      <c r="N151" s="37">
        <v>1</v>
      </c>
      <c r="O151" s="37">
        <v>1</v>
      </c>
      <c r="P151" s="37">
        <v>1</v>
      </c>
      <c r="Q151" s="37">
        <v>1</v>
      </c>
      <c r="R151" s="37">
        <v>1</v>
      </c>
      <c r="S151" s="37">
        <v>1</v>
      </c>
      <c r="T151" s="37">
        <v>1</v>
      </c>
      <c r="U151" s="37">
        <v>1</v>
      </c>
      <c r="V151" s="37">
        <v>1</v>
      </c>
      <c r="W151" s="37">
        <v>1</v>
      </c>
      <c r="X151" s="37">
        <v>1</v>
      </c>
      <c r="Y151" s="37">
        <v>1</v>
      </c>
      <c r="Z151" s="37">
        <v>1</v>
      </c>
      <c r="AA151" s="22">
        <v>0</v>
      </c>
      <c r="AB151" s="37">
        <v>0</v>
      </c>
      <c r="AC151" s="37">
        <v>0</v>
      </c>
    </row>
    <row r="152" spans="1:29" ht="18" x14ac:dyDescent="0.2">
      <c r="A152" s="95"/>
      <c r="B152" s="25" t="s">
        <v>23</v>
      </c>
      <c r="C152" s="24" t="s">
        <v>71</v>
      </c>
      <c r="D152" s="37">
        <v>1</v>
      </c>
      <c r="E152" s="47"/>
      <c r="F152" s="37">
        <v>1</v>
      </c>
      <c r="G152" s="37">
        <v>1</v>
      </c>
      <c r="H152" s="37">
        <v>1</v>
      </c>
      <c r="I152" s="37">
        <v>1</v>
      </c>
      <c r="J152" s="37">
        <v>1</v>
      </c>
      <c r="K152" s="37">
        <v>1</v>
      </c>
      <c r="L152" s="37">
        <v>1</v>
      </c>
      <c r="M152" s="37">
        <v>1</v>
      </c>
      <c r="N152" s="37">
        <v>1</v>
      </c>
      <c r="O152" s="37">
        <v>1</v>
      </c>
      <c r="P152" s="37">
        <v>1</v>
      </c>
      <c r="Q152" s="37">
        <v>1</v>
      </c>
      <c r="R152" s="37">
        <v>1</v>
      </c>
      <c r="S152" s="37">
        <v>1</v>
      </c>
      <c r="T152" s="37">
        <v>1</v>
      </c>
      <c r="U152" s="37">
        <v>1</v>
      </c>
      <c r="V152" s="37">
        <v>1</v>
      </c>
      <c r="W152" s="37">
        <v>1</v>
      </c>
      <c r="X152" s="37">
        <v>1</v>
      </c>
      <c r="Y152" s="37">
        <v>1</v>
      </c>
      <c r="Z152" s="37">
        <v>1</v>
      </c>
      <c r="AA152" s="22">
        <v>0</v>
      </c>
      <c r="AB152" s="37">
        <v>0</v>
      </c>
      <c r="AC152" s="37">
        <v>0</v>
      </c>
    </row>
    <row r="153" spans="1:29" ht="18" x14ac:dyDescent="0.2">
      <c r="A153" s="95"/>
      <c r="B153" s="25" t="s">
        <v>84</v>
      </c>
      <c r="C153" s="24" t="s">
        <v>74</v>
      </c>
      <c r="D153" s="37">
        <v>3</v>
      </c>
      <c r="E153" s="37"/>
      <c r="F153" s="37">
        <v>2</v>
      </c>
      <c r="G153" s="37">
        <v>2</v>
      </c>
      <c r="H153" s="37">
        <v>2</v>
      </c>
      <c r="I153" s="37">
        <v>2</v>
      </c>
      <c r="J153" s="37">
        <v>2</v>
      </c>
      <c r="K153" s="37">
        <v>2</v>
      </c>
      <c r="L153" s="37">
        <v>2</v>
      </c>
      <c r="M153" s="37">
        <v>2</v>
      </c>
      <c r="N153" s="37">
        <v>2</v>
      </c>
      <c r="O153" s="37">
        <v>2</v>
      </c>
      <c r="P153" s="37">
        <v>2</v>
      </c>
      <c r="Q153" s="37">
        <v>2</v>
      </c>
      <c r="R153" s="37">
        <v>2</v>
      </c>
      <c r="S153" s="37">
        <v>2</v>
      </c>
      <c r="T153" s="37">
        <v>2</v>
      </c>
      <c r="U153" s="37">
        <v>2</v>
      </c>
      <c r="V153" s="37">
        <v>2</v>
      </c>
      <c r="W153" s="37">
        <v>2</v>
      </c>
      <c r="X153" s="37">
        <v>2</v>
      </c>
      <c r="Y153" s="37">
        <v>2</v>
      </c>
      <c r="Z153" s="37">
        <v>2</v>
      </c>
      <c r="AA153" s="26">
        <v>1</v>
      </c>
      <c r="AB153" s="37">
        <v>0</v>
      </c>
      <c r="AC153" s="37">
        <v>0</v>
      </c>
    </row>
    <row r="154" spans="1:29" ht="18" x14ac:dyDescent="0.2">
      <c r="A154" s="95"/>
      <c r="B154" s="25" t="s">
        <v>87</v>
      </c>
      <c r="C154" s="24" t="s">
        <v>65</v>
      </c>
      <c r="D154" s="37">
        <v>1</v>
      </c>
      <c r="E154" s="47"/>
      <c r="F154" s="37">
        <v>1</v>
      </c>
      <c r="G154" s="37">
        <v>1</v>
      </c>
      <c r="H154" s="37">
        <v>1</v>
      </c>
      <c r="I154" s="37">
        <v>1</v>
      </c>
      <c r="J154" s="37">
        <v>1</v>
      </c>
      <c r="K154" s="37">
        <v>1</v>
      </c>
      <c r="L154" s="37">
        <v>1</v>
      </c>
      <c r="M154" s="37">
        <v>1</v>
      </c>
      <c r="N154" s="37">
        <v>1</v>
      </c>
      <c r="O154" s="37">
        <v>1</v>
      </c>
      <c r="P154" s="37">
        <v>1</v>
      </c>
      <c r="Q154" s="37">
        <v>1</v>
      </c>
      <c r="R154" s="37">
        <v>1</v>
      </c>
      <c r="S154" s="37">
        <v>1</v>
      </c>
      <c r="T154" s="37">
        <v>1</v>
      </c>
      <c r="U154" s="37">
        <v>1</v>
      </c>
      <c r="V154" s="37">
        <v>1</v>
      </c>
      <c r="W154" s="37">
        <v>1</v>
      </c>
      <c r="X154" s="37">
        <v>1</v>
      </c>
      <c r="Y154" s="37">
        <v>1</v>
      </c>
      <c r="Z154" s="37">
        <v>1</v>
      </c>
      <c r="AA154" s="22">
        <v>0</v>
      </c>
      <c r="AB154" s="37">
        <v>0</v>
      </c>
      <c r="AC154" s="37">
        <v>0</v>
      </c>
    </row>
    <row r="155" spans="1:29" ht="18" x14ac:dyDescent="0.2">
      <c r="A155" s="95" t="s">
        <v>43</v>
      </c>
      <c r="B155" s="25" t="s">
        <v>48</v>
      </c>
      <c r="C155" s="24" t="s">
        <v>68</v>
      </c>
      <c r="D155" s="37">
        <v>1</v>
      </c>
      <c r="E155" s="47"/>
      <c r="F155" s="37">
        <v>1</v>
      </c>
      <c r="G155" s="37">
        <v>1</v>
      </c>
      <c r="H155" s="37">
        <v>1</v>
      </c>
      <c r="I155" s="37">
        <v>1</v>
      </c>
      <c r="J155" s="37">
        <v>1</v>
      </c>
      <c r="K155" s="37">
        <v>1</v>
      </c>
      <c r="L155" s="37">
        <v>1</v>
      </c>
      <c r="M155" s="37">
        <v>1</v>
      </c>
      <c r="N155" s="37">
        <v>1</v>
      </c>
      <c r="O155" s="37">
        <v>1</v>
      </c>
      <c r="P155" s="37">
        <v>1</v>
      </c>
      <c r="Q155" s="37">
        <v>1</v>
      </c>
      <c r="R155" s="37">
        <v>1</v>
      </c>
      <c r="S155" s="37">
        <v>1</v>
      </c>
      <c r="T155" s="37">
        <v>1</v>
      </c>
      <c r="U155" s="37">
        <v>1</v>
      </c>
      <c r="V155" s="37">
        <v>1</v>
      </c>
      <c r="W155" s="37">
        <v>1</v>
      </c>
      <c r="X155" s="37">
        <v>1</v>
      </c>
      <c r="Y155" s="37">
        <v>1</v>
      </c>
      <c r="Z155" s="37">
        <v>1</v>
      </c>
      <c r="AA155" s="37">
        <v>1</v>
      </c>
      <c r="AB155" s="22">
        <v>0</v>
      </c>
      <c r="AC155" s="37">
        <v>0</v>
      </c>
    </row>
    <row r="156" spans="1:29" ht="18" x14ac:dyDescent="0.2">
      <c r="A156" s="95"/>
      <c r="B156" s="25" t="s">
        <v>20</v>
      </c>
      <c r="C156" s="24" t="s">
        <v>69</v>
      </c>
      <c r="D156" s="37">
        <v>1</v>
      </c>
      <c r="E156" s="47"/>
      <c r="F156" s="37">
        <v>1</v>
      </c>
      <c r="G156" s="37">
        <v>1</v>
      </c>
      <c r="H156" s="37">
        <v>1</v>
      </c>
      <c r="I156" s="37">
        <v>1</v>
      </c>
      <c r="J156" s="37">
        <v>1</v>
      </c>
      <c r="K156" s="37">
        <v>1</v>
      </c>
      <c r="L156" s="37">
        <v>1</v>
      </c>
      <c r="M156" s="37">
        <v>1</v>
      </c>
      <c r="N156" s="37">
        <v>1</v>
      </c>
      <c r="O156" s="37">
        <v>1</v>
      </c>
      <c r="P156" s="37">
        <v>1</v>
      </c>
      <c r="Q156" s="37">
        <v>1</v>
      </c>
      <c r="R156" s="37">
        <v>1</v>
      </c>
      <c r="S156" s="37">
        <v>1</v>
      </c>
      <c r="T156" s="37">
        <v>1</v>
      </c>
      <c r="U156" s="37">
        <v>1</v>
      </c>
      <c r="V156" s="37">
        <v>1</v>
      </c>
      <c r="W156" s="37">
        <v>1</v>
      </c>
      <c r="X156" s="37">
        <v>1</v>
      </c>
      <c r="Y156" s="37">
        <v>1</v>
      </c>
      <c r="Z156" s="37">
        <v>1</v>
      </c>
      <c r="AA156" s="37">
        <v>1</v>
      </c>
      <c r="AB156" s="22">
        <v>0</v>
      </c>
      <c r="AC156" s="37">
        <v>0</v>
      </c>
    </row>
    <row r="157" spans="1:29" ht="18" x14ac:dyDescent="0.2">
      <c r="A157" s="95"/>
      <c r="B157" s="25" t="s">
        <v>19</v>
      </c>
      <c r="C157" s="24" t="s">
        <v>67</v>
      </c>
      <c r="D157" s="37">
        <v>1</v>
      </c>
      <c r="E157" s="47"/>
      <c r="F157" s="37">
        <v>1</v>
      </c>
      <c r="G157" s="37">
        <v>1</v>
      </c>
      <c r="H157" s="37">
        <v>1</v>
      </c>
      <c r="I157" s="37">
        <v>1</v>
      </c>
      <c r="J157" s="37">
        <v>1</v>
      </c>
      <c r="K157" s="37">
        <v>1</v>
      </c>
      <c r="L157" s="37">
        <v>1</v>
      </c>
      <c r="M157" s="37">
        <v>1</v>
      </c>
      <c r="N157" s="37">
        <v>1</v>
      </c>
      <c r="O157" s="37">
        <v>1</v>
      </c>
      <c r="P157" s="37">
        <v>1</v>
      </c>
      <c r="Q157" s="37">
        <v>1</v>
      </c>
      <c r="R157" s="37">
        <v>1</v>
      </c>
      <c r="S157" s="37">
        <v>1</v>
      </c>
      <c r="T157" s="37">
        <v>1</v>
      </c>
      <c r="U157" s="37">
        <v>1</v>
      </c>
      <c r="V157" s="37">
        <v>1</v>
      </c>
      <c r="W157" s="37">
        <v>1</v>
      </c>
      <c r="X157" s="37">
        <v>1</v>
      </c>
      <c r="Y157" s="37">
        <v>1</v>
      </c>
      <c r="Z157" s="37">
        <v>1</v>
      </c>
      <c r="AA157" s="37">
        <v>1</v>
      </c>
      <c r="AB157" s="22">
        <v>0</v>
      </c>
      <c r="AC157" s="37">
        <v>0</v>
      </c>
    </row>
    <row r="158" spans="1:29" ht="18" x14ac:dyDescent="0.2">
      <c r="A158" s="95"/>
      <c r="B158" s="25" t="s">
        <v>81</v>
      </c>
      <c r="C158" s="24" t="s">
        <v>68</v>
      </c>
      <c r="D158" s="37">
        <v>1</v>
      </c>
      <c r="E158" s="47"/>
      <c r="F158" s="37">
        <v>1</v>
      </c>
      <c r="G158" s="37">
        <v>1</v>
      </c>
      <c r="H158" s="37">
        <v>1</v>
      </c>
      <c r="I158" s="37">
        <v>1</v>
      </c>
      <c r="J158" s="37">
        <v>1</v>
      </c>
      <c r="K158" s="37">
        <v>1</v>
      </c>
      <c r="L158" s="37">
        <v>1</v>
      </c>
      <c r="M158" s="37">
        <v>1</v>
      </c>
      <c r="N158" s="37">
        <v>1</v>
      </c>
      <c r="O158" s="37">
        <v>1</v>
      </c>
      <c r="P158" s="37">
        <v>1</v>
      </c>
      <c r="Q158" s="37">
        <v>1</v>
      </c>
      <c r="R158" s="37">
        <v>1</v>
      </c>
      <c r="S158" s="37">
        <v>1</v>
      </c>
      <c r="T158" s="37">
        <v>1</v>
      </c>
      <c r="U158" s="37">
        <v>1</v>
      </c>
      <c r="V158" s="37">
        <v>1</v>
      </c>
      <c r="W158" s="37">
        <v>1</v>
      </c>
      <c r="X158" s="37">
        <v>1</v>
      </c>
      <c r="Y158" s="37">
        <v>1</v>
      </c>
      <c r="Z158" s="37">
        <v>1</v>
      </c>
      <c r="AA158" s="37">
        <v>1</v>
      </c>
      <c r="AB158" s="22">
        <v>0</v>
      </c>
      <c r="AC158" s="37">
        <v>0</v>
      </c>
    </row>
    <row r="159" spans="1:29" ht="18" x14ac:dyDescent="0.2">
      <c r="A159" s="95"/>
      <c r="B159" s="25" t="s">
        <v>82</v>
      </c>
      <c r="C159" s="24" t="s">
        <v>69</v>
      </c>
      <c r="D159" s="37">
        <v>1</v>
      </c>
      <c r="E159" s="47"/>
      <c r="F159" s="37">
        <v>1</v>
      </c>
      <c r="G159" s="37">
        <v>1</v>
      </c>
      <c r="H159" s="37">
        <v>1</v>
      </c>
      <c r="I159" s="37">
        <v>1</v>
      </c>
      <c r="J159" s="37">
        <v>1</v>
      </c>
      <c r="K159" s="37">
        <v>1</v>
      </c>
      <c r="L159" s="37">
        <v>1</v>
      </c>
      <c r="M159" s="37">
        <v>1</v>
      </c>
      <c r="N159" s="37">
        <v>1</v>
      </c>
      <c r="O159" s="37">
        <v>1</v>
      </c>
      <c r="P159" s="37">
        <v>1</v>
      </c>
      <c r="Q159" s="37">
        <v>1</v>
      </c>
      <c r="R159" s="37">
        <v>1</v>
      </c>
      <c r="S159" s="37">
        <v>1</v>
      </c>
      <c r="T159" s="37">
        <v>1</v>
      </c>
      <c r="U159" s="37">
        <v>1</v>
      </c>
      <c r="V159" s="37">
        <v>1</v>
      </c>
      <c r="W159" s="37">
        <v>1</v>
      </c>
      <c r="X159" s="37">
        <v>1</v>
      </c>
      <c r="Y159" s="37">
        <v>1</v>
      </c>
      <c r="Z159" s="37">
        <v>1</v>
      </c>
      <c r="AA159" s="37">
        <v>1</v>
      </c>
      <c r="AB159" s="22">
        <v>0</v>
      </c>
      <c r="AC159" s="37">
        <v>0</v>
      </c>
    </row>
    <row r="160" spans="1:29" ht="18" x14ac:dyDescent="0.2">
      <c r="A160" s="95"/>
      <c r="B160" s="25" t="s">
        <v>21</v>
      </c>
      <c r="C160" s="24" t="s">
        <v>67</v>
      </c>
      <c r="D160" s="37">
        <v>1</v>
      </c>
      <c r="E160" s="47"/>
      <c r="F160" s="37">
        <v>1</v>
      </c>
      <c r="G160" s="37">
        <v>1</v>
      </c>
      <c r="H160" s="37">
        <v>1</v>
      </c>
      <c r="I160" s="37">
        <v>1</v>
      </c>
      <c r="J160" s="37">
        <v>1</v>
      </c>
      <c r="K160" s="37">
        <v>1</v>
      </c>
      <c r="L160" s="37">
        <v>1</v>
      </c>
      <c r="M160" s="37">
        <v>1</v>
      </c>
      <c r="N160" s="37">
        <v>1</v>
      </c>
      <c r="O160" s="37">
        <v>1</v>
      </c>
      <c r="P160" s="37">
        <v>1</v>
      </c>
      <c r="Q160" s="37">
        <v>1</v>
      </c>
      <c r="R160" s="37">
        <v>1</v>
      </c>
      <c r="S160" s="37">
        <v>1</v>
      </c>
      <c r="T160" s="37">
        <v>1</v>
      </c>
      <c r="U160" s="37">
        <v>1</v>
      </c>
      <c r="V160" s="37">
        <v>1</v>
      </c>
      <c r="W160" s="37">
        <v>1</v>
      </c>
      <c r="X160" s="37">
        <v>1</v>
      </c>
      <c r="Y160" s="37">
        <v>1</v>
      </c>
      <c r="Z160" s="37">
        <v>1</v>
      </c>
      <c r="AA160" s="37">
        <v>1</v>
      </c>
      <c r="AB160" s="22">
        <v>0</v>
      </c>
      <c r="AC160" s="37">
        <v>0</v>
      </c>
    </row>
    <row r="161" spans="1:29" ht="18" x14ac:dyDescent="0.2">
      <c r="A161" s="95"/>
      <c r="B161" s="25" t="s">
        <v>49</v>
      </c>
      <c r="C161" s="24" t="s">
        <v>66</v>
      </c>
      <c r="D161" s="37">
        <v>1</v>
      </c>
      <c r="E161" s="47"/>
      <c r="F161" s="37">
        <v>1</v>
      </c>
      <c r="G161" s="37">
        <v>1</v>
      </c>
      <c r="H161" s="37">
        <v>1</v>
      </c>
      <c r="I161" s="37">
        <v>1</v>
      </c>
      <c r="J161" s="37">
        <v>1</v>
      </c>
      <c r="K161" s="37">
        <v>1</v>
      </c>
      <c r="L161" s="37">
        <v>1</v>
      </c>
      <c r="M161" s="37">
        <v>1</v>
      </c>
      <c r="N161" s="37">
        <v>1</v>
      </c>
      <c r="O161" s="37">
        <v>1</v>
      </c>
      <c r="P161" s="37">
        <v>1</v>
      </c>
      <c r="Q161" s="37">
        <v>1</v>
      </c>
      <c r="R161" s="37">
        <v>1</v>
      </c>
      <c r="S161" s="37">
        <v>1</v>
      </c>
      <c r="T161" s="37">
        <v>1</v>
      </c>
      <c r="U161" s="37">
        <v>1</v>
      </c>
      <c r="V161" s="37">
        <v>1</v>
      </c>
      <c r="W161" s="37">
        <v>1</v>
      </c>
      <c r="X161" s="37">
        <v>1</v>
      </c>
      <c r="Y161" s="37">
        <v>1</v>
      </c>
      <c r="Z161" s="37">
        <v>1</v>
      </c>
      <c r="AA161" s="37">
        <v>1</v>
      </c>
      <c r="AB161" s="22">
        <v>0</v>
      </c>
      <c r="AC161" s="37">
        <v>0</v>
      </c>
    </row>
    <row r="162" spans="1:29" ht="18" x14ac:dyDescent="0.2">
      <c r="A162" s="95"/>
      <c r="B162" s="25" t="s">
        <v>83</v>
      </c>
      <c r="C162" s="24" t="s">
        <v>67</v>
      </c>
      <c r="D162" s="37">
        <v>1</v>
      </c>
      <c r="E162" s="47"/>
      <c r="F162" s="37">
        <v>1</v>
      </c>
      <c r="G162" s="37">
        <v>1</v>
      </c>
      <c r="H162" s="37">
        <v>1</v>
      </c>
      <c r="I162" s="37">
        <v>1</v>
      </c>
      <c r="J162" s="37">
        <v>1</v>
      </c>
      <c r="K162" s="37">
        <v>1</v>
      </c>
      <c r="L162" s="37">
        <v>1</v>
      </c>
      <c r="M162" s="37">
        <v>1</v>
      </c>
      <c r="N162" s="37">
        <v>1</v>
      </c>
      <c r="O162" s="37">
        <v>1</v>
      </c>
      <c r="P162" s="37">
        <v>1</v>
      </c>
      <c r="Q162" s="37">
        <v>1</v>
      </c>
      <c r="R162" s="37">
        <v>1</v>
      </c>
      <c r="S162" s="37">
        <v>1</v>
      </c>
      <c r="T162" s="37">
        <v>1</v>
      </c>
      <c r="U162" s="37">
        <v>1</v>
      </c>
      <c r="V162" s="37">
        <v>1</v>
      </c>
      <c r="W162" s="37">
        <v>1</v>
      </c>
      <c r="X162" s="37">
        <v>1</v>
      </c>
      <c r="Y162" s="37">
        <v>1</v>
      </c>
      <c r="Z162" s="37">
        <v>1</v>
      </c>
      <c r="AA162" s="37">
        <v>1</v>
      </c>
      <c r="AB162" s="22">
        <v>0</v>
      </c>
      <c r="AC162" s="37">
        <v>0</v>
      </c>
    </row>
    <row r="163" spans="1:29" ht="18" x14ac:dyDescent="0.2">
      <c r="A163" s="95"/>
      <c r="B163" s="25" t="s">
        <v>23</v>
      </c>
      <c r="C163" s="24" t="s">
        <v>91</v>
      </c>
      <c r="D163" s="37">
        <v>1</v>
      </c>
      <c r="E163" s="47"/>
      <c r="F163" s="37">
        <v>1</v>
      </c>
      <c r="G163" s="37">
        <v>1</v>
      </c>
      <c r="H163" s="37">
        <v>1</v>
      </c>
      <c r="I163" s="37">
        <v>1</v>
      </c>
      <c r="J163" s="37">
        <v>1</v>
      </c>
      <c r="K163" s="37">
        <v>1</v>
      </c>
      <c r="L163" s="37">
        <v>1</v>
      </c>
      <c r="M163" s="37">
        <v>1</v>
      </c>
      <c r="N163" s="37">
        <v>1</v>
      </c>
      <c r="O163" s="37">
        <v>1</v>
      </c>
      <c r="P163" s="37">
        <v>1</v>
      </c>
      <c r="Q163" s="37">
        <v>1</v>
      </c>
      <c r="R163" s="37">
        <v>1</v>
      </c>
      <c r="S163" s="37">
        <v>1</v>
      </c>
      <c r="T163" s="37">
        <v>1</v>
      </c>
      <c r="U163" s="37">
        <v>1</v>
      </c>
      <c r="V163" s="37">
        <v>1</v>
      </c>
      <c r="W163" s="37">
        <v>1</v>
      </c>
      <c r="X163" s="37">
        <v>1</v>
      </c>
      <c r="Y163" s="37">
        <v>1</v>
      </c>
      <c r="Z163" s="37">
        <v>1</v>
      </c>
      <c r="AA163" s="37">
        <v>1</v>
      </c>
      <c r="AB163" s="22">
        <v>0</v>
      </c>
      <c r="AC163" s="37">
        <v>0</v>
      </c>
    </row>
    <row r="164" spans="1:29" ht="18" x14ac:dyDescent="0.2">
      <c r="A164" s="95"/>
      <c r="B164" s="25" t="s">
        <v>84</v>
      </c>
      <c r="C164" s="24" t="s">
        <v>90</v>
      </c>
      <c r="D164" s="37">
        <v>1</v>
      </c>
      <c r="E164" s="47"/>
      <c r="F164" s="37">
        <v>1</v>
      </c>
      <c r="G164" s="37">
        <v>1</v>
      </c>
      <c r="H164" s="37">
        <v>1</v>
      </c>
      <c r="I164" s="37">
        <v>1</v>
      </c>
      <c r="J164" s="37">
        <v>1</v>
      </c>
      <c r="K164" s="37">
        <v>1</v>
      </c>
      <c r="L164" s="37">
        <v>1</v>
      </c>
      <c r="M164" s="37">
        <v>1</v>
      </c>
      <c r="N164" s="37">
        <v>1</v>
      </c>
      <c r="O164" s="37">
        <v>1</v>
      </c>
      <c r="P164" s="37">
        <v>1</v>
      </c>
      <c r="Q164" s="37">
        <v>1</v>
      </c>
      <c r="R164" s="37">
        <v>1</v>
      </c>
      <c r="S164" s="37">
        <v>1</v>
      </c>
      <c r="T164" s="37">
        <v>1</v>
      </c>
      <c r="U164" s="37">
        <v>1</v>
      </c>
      <c r="V164" s="37">
        <v>1</v>
      </c>
      <c r="W164" s="37">
        <v>1</v>
      </c>
      <c r="X164" s="37">
        <v>1</v>
      </c>
      <c r="Y164" s="37">
        <v>1</v>
      </c>
      <c r="Z164" s="37">
        <v>1</v>
      </c>
      <c r="AA164" s="37">
        <v>1</v>
      </c>
      <c r="AB164" s="22">
        <v>0</v>
      </c>
      <c r="AC164" s="37">
        <v>0</v>
      </c>
    </row>
    <row r="165" spans="1:29" ht="18" x14ac:dyDescent="0.2">
      <c r="A165" s="95"/>
      <c r="B165" s="29" t="s">
        <v>88</v>
      </c>
      <c r="C165" s="24" t="s">
        <v>65</v>
      </c>
      <c r="D165" s="37">
        <v>3</v>
      </c>
      <c r="E165" s="47"/>
      <c r="F165" s="37">
        <v>3</v>
      </c>
      <c r="G165" s="37">
        <v>3</v>
      </c>
      <c r="H165" s="37">
        <v>3</v>
      </c>
      <c r="I165" s="37">
        <v>3</v>
      </c>
      <c r="J165" s="37">
        <v>3</v>
      </c>
      <c r="K165" s="37">
        <v>3</v>
      </c>
      <c r="L165" s="37">
        <v>3</v>
      </c>
      <c r="M165" s="37">
        <v>3</v>
      </c>
      <c r="N165" s="37">
        <v>3</v>
      </c>
      <c r="O165" s="37">
        <v>3</v>
      </c>
      <c r="P165" s="37">
        <v>3</v>
      </c>
      <c r="Q165" s="37">
        <v>3</v>
      </c>
      <c r="R165" s="37">
        <v>3</v>
      </c>
      <c r="S165" s="37">
        <v>3</v>
      </c>
      <c r="T165" s="37">
        <v>3</v>
      </c>
      <c r="U165" s="37">
        <v>3</v>
      </c>
      <c r="V165" s="37">
        <v>3</v>
      </c>
      <c r="W165" s="37">
        <v>3</v>
      </c>
      <c r="X165" s="37">
        <v>3</v>
      </c>
      <c r="Y165" s="37">
        <v>3</v>
      </c>
      <c r="Z165" s="37">
        <v>3</v>
      </c>
      <c r="AA165" s="37">
        <v>3</v>
      </c>
      <c r="AB165" s="37">
        <v>3</v>
      </c>
      <c r="AC165" s="22">
        <v>0</v>
      </c>
    </row>
    <row r="166" spans="1:29" ht="18" x14ac:dyDescent="0.2">
      <c r="A166" s="95"/>
      <c r="B166" s="29" t="s">
        <v>89</v>
      </c>
      <c r="C166" s="24" t="s">
        <v>65</v>
      </c>
      <c r="D166" s="37">
        <v>3</v>
      </c>
      <c r="E166" s="47"/>
      <c r="F166" s="37">
        <v>3</v>
      </c>
      <c r="G166" s="37">
        <v>3</v>
      </c>
      <c r="H166" s="37">
        <v>3</v>
      </c>
      <c r="I166" s="37">
        <v>3</v>
      </c>
      <c r="J166" s="37">
        <v>3</v>
      </c>
      <c r="K166" s="37">
        <v>3</v>
      </c>
      <c r="L166" s="37">
        <v>3</v>
      </c>
      <c r="M166" s="37">
        <v>3</v>
      </c>
      <c r="N166" s="37">
        <v>3</v>
      </c>
      <c r="O166" s="37">
        <v>3</v>
      </c>
      <c r="P166" s="37">
        <v>3</v>
      </c>
      <c r="Q166" s="37">
        <v>3</v>
      </c>
      <c r="R166" s="37">
        <v>3</v>
      </c>
      <c r="S166" s="37">
        <v>3</v>
      </c>
      <c r="T166" s="37">
        <v>3</v>
      </c>
      <c r="U166" s="37">
        <v>3</v>
      </c>
      <c r="V166" s="37">
        <v>3</v>
      </c>
      <c r="W166" s="37">
        <v>3</v>
      </c>
      <c r="X166" s="37">
        <v>3</v>
      </c>
      <c r="Y166" s="37">
        <v>3</v>
      </c>
      <c r="Z166" s="37">
        <v>3</v>
      </c>
      <c r="AA166" s="37">
        <v>3</v>
      </c>
      <c r="AB166" s="37">
        <v>3</v>
      </c>
      <c r="AC166" s="22">
        <v>0</v>
      </c>
    </row>
    <row r="167" spans="1:29" ht="17" x14ac:dyDescent="0.2">
      <c r="A167" s="70" t="s">
        <v>8</v>
      </c>
      <c r="B167" s="71"/>
      <c r="C167" s="72"/>
      <c r="D167" s="37">
        <f>SUM(D96:D166)</f>
        <v>174</v>
      </c>
      <c r="E167" s="37"/>
      <c r="F167" s="37">
        <f t="shared" ref="F167:AC167" si="2">SUM(F96:F166)</f>
        <v>176</v>
      </c>
      <c r="G167" s="37">
        <f t="shared" si="2"/>
        <v>158</v>
      </c>
      <c r="H167" s="37">
        <f t="shared" si="2"/>
        <v>151</v>
      </c>
      <c r="I167" s="37">
        <f t="shared" si="2"/>
        <v>146</v>
      </c>
      <c r="J167" s="37">
        <f t="shared" si="2"/>
        <v>142</v>
      </c>
      <c r="K167" s="37">
        <f t="shared" si="2"/>
        <v>138</v>
      </c>
      <c r="L167" s="37">
        <f t="shared" si="2"/>
        <v>129</v>
      </c>
      <c r="M167" s="37">
        <f t="shared" si="2"/>
        <v>121</v>
      </c>
      <c r="N167" s="37">
        <f t="shared" si="2"/>
        <v>119</v>
      </c>
      <c r="O167" s="37">
        <f t="shared" si="2"/>
        <v>116</v>
      </c>
      <c r="P167" s="37">
        <f t="shared" si="2"/>
        <v>110</v>
      </c>
      <c r="Q167" s="37">
        <f t="shared" si="2"/>
        <v>107</v>
      </c>
      <c r="R167" s="37">
        <f t="shared" si="2"/>
        <v>102</v>
      </c>
      <c r="S167" s="37">
        <f t="shared" si="2"/>
        <v>88</v>
      </c>
      <c r="T167" s="37">
        <f t="shared" si="2"/>
        <v>82</v>
      </c>
      <c r="U167" s="37">
        <f t="shared" si="2"/>
        <v>76</v>
      </c>
      <c r="V167" s="37">
        <f t="shared" si="2"/>
        <v>70</v>
      </c>
      <c r="W167" s="37">
        <f t="shared" si="2"/>
        <v>56</v>
      </c>
      <c r="X167" s="37">
        <f t="shared" si="2"/>
        <v>52</v>
      </c>
      <c r="Y167" s="37">
        <f t="shared" si="2"/>
        <v>33</v>
      </c>
      <c r="Z167" s="37">
        <f t="shared" si="2"/>
        <v>27</v>
      </c>
      <c r="AA167" s="37">
        <f t="shared" si="2"/>
        <v>18</v>
      </c>
      <c r="AB167" s="37">
        <f t="shared" si="2"/>
        <v>6</v>
      </c>
      <c r="AC167" s="37">
        <f t="shared" si="2"/>
        <v>0</v>
      </c>
    </row>
    <row r="173" spans="1:29" ht="17" x14ac:dyDescent="0.2">
      <c r="E173" s="64" t="s">
        <v>53</v>
      </c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6"/>
    </row>
    <row r="174" spans="1:29" ht="71" x14ac:dyDescent="0.2">
      <c r="E174" s="33"/>
      <c r="F174" s="44">
        <v>45969</v>
      </c>
      <c r="G174" s="44">
        <v>45970</v>
      </c>
      <c r="H174" s="44">
        <v>45971</v>
      </c>
      <c r="I174" s="44">
        <v>45972</v>
      </c>
      <c r="J174" s="44">
        <v>45973</v>
      </c>
      <c r="K174" s="44">
        <v>45974</v>
      </c>
      <c r="L174" s="44">
        <v>45975</v>
      </c>
      <c r="M174" s="44">
        <v>45976</v>
      </c>
      <c r="N174" s="44">
        <v>45977</v>
      </c>
      <c r="O174" s="44">
        <v>45978</v>
      </c>
      <c r="P174" s="44">
        <v>45979</v>
      </c>
      <c r="Q174" s="44">
        <v>45980</v>
      </c>
      <c r="R174" s="44">
        <v>45981</v>
      </c>
      <c r="S174" s="44">
        <v>45982</v>
      </c>
      <c r="T174" s="44">
        <v>45983</v>
      </c>
      <c r="U174" s="44">
        <v>45984</v>
      </c>
      <c r="V174" s="49">
        <v>45985</v>
      </c>
      <c r="W174" s="49">
        <v>45986</v>
      </c>
      <c r="X174" s="49">
        <v>45987</v>
      </c>
      <c r="Y174" s="49">
        <v>45988</v>
      </c>
      <c r="Z174" s="49">
        <v>45989</v>
      </c>
      <c r="AA174" s="49">
        <v>45990</v>
      </c>
      <c r="AB174" s="49">
        <v>45991</v>
      </c>
      <c r="AC174" s="49">
        <v>45992</v>
      </c>
    </row>
    <row r="175" spans="1:29" ht="17" x14ac:dyDescent="0.2">
      <c r="E175" s="9" t="s">
        <v>7</v>
      </c>
      <c r="F175" s="9">
        <v>176</v>
      </c>
      <c r="G175" s="9">
        <v>155</v>
      </c>
      <c r="H175" s="9">
        <v>151</v>
      </c>
      <c r="I175" s="9">
        <v>146</v>
      </c>
      <c r="J175" s="9">
        <v>142</v>
      </c>
      <c r="K175" s="9">
        <v>138</v>
      </c>
      <c r="L175" s="9">
        <v>129</v>
      </c>
      <c r="M175" s="9">
        <v>121</v>
      </c>
      <c r="N175" s="9">
        <v>119</v>
      </c>
      <c r="O175" s="9">
        <v>116</v>
      </c>
      <c r="P175" s="9">
        <v>110</v>
      </c>
      <c r="Q175" s="9">
        <v>107</v>
      </c>
      <c r="R175" s="9">
        <v>100</v>
      </c>
      <c r="S175" s="9">
        <v>88</v>
      </c>
      <c r="T175" s="9">
        <v>82</v>
      </c>
      <c r="U175" s="9">
        <v>76</v>
      </c>
      <c r="V175" s="9">
        <v>70</v>
      </c>
      <c r="W175" s="9">
        <v>56</v>
      </c>
      <c r="X175" s="9">
        <v>52</v>
      </c>
      <c r="Y175" s="9">
        <v>33</v>
      </c>
      <c r="Z175" s="9">
        <v>26</v>
      </c>
      <c r="AA175" s="9">
        <v>16</v>
      </c>
      <c r="AB175" s="9">
        <v>6</v>
      </c>
      <c r="AC175" s="9">
        <v>0</v>
      </c>
    </row>
    <row r="176" spans="1:29" ht="17" x14ac:dyDescent="0.2">
      <c r="E176" s="9" t="s">
        <v>8</v>
      </c>
      <c r="F176" s="9">
        <v>176</v>
      </c>
      <c r="G176" s="9">
        <v>158</v>
      </c>
      <c r="H176" s="9">
        <v>151</v>
      </c>
      <c r="I176" s="9">
        <v>146</v>
      </c>
      <c r="J176" s="9">
        <v>142</v>
      </c>
      <c r="K176" s="9">
        <v>138</v>
      </c>
      <c r="L176" s="9">
        <v>129</v>
      </c>
      <c r="M176" s="9">
        <v>121</v>
      </c>
      <c r="N176" s="9">
        <v>119</v>
      </c>
      <c r="O176" s="9">
        <v>116</v>
      </c>
      <c r="P176" s="9">
        <v>110</v>
      </c>
      <c r="Q176" s="9">
        <v>107</v>
      </c>
      <c r="R176" s="9">
        <v>102</v>
      </c>
      <c r="S176" s="9">
        <v>90</v>
      </c>
      <c r="T176" s="9">
        <v>82</v>
      </c>
      <c r="U176" s="9">
        <v>76</v>
      </c>
      <c r="V176" s="9">
        <v>70</v>
      </c>
      <c r="W176" s="9">
        <v>56</v>
      </c>
      <c r="X176" s="9">
        <v>52</v>
      </c>
      <c r="Y176" s="9">
        <v>33</v>
      </c>
      <c r="Z176" s="9">
        <v>27</v>
      </c>
      <c r="AA176" s="9">
        <v>18</v>
      </c>
      <c r="AB176" s="9">
        <v>6</v>
      </c>
      <c r="AC176" s="9">
        <v>0</v>
      </c>
    </row>
    <row r="210" spans="6:6" x14ac:dyDescent="0.2">
      <c r="F210" s="59"/>
    </row>
  </sheetData>
  <mergeCells count="42">
    <mergeCell ref="D12:E12"/>
    <mergeCell ref="H12:I12"/>
    <mergeCell ref="B1:C1"/>
    <mergeCell ref="B2:C2"/>
    <mergeCell ref="B3:C3"/>
    <mergeCell ref="B4:C4"/>
    <mergeCell ref="B5:C5"/>
    <mergeCell ref="A8:E8"/>
    <mergeCell ref="D9:E9"/>
    <mergeCell ref="D10:E10"/>
    <mergeCell ref="H10:I10"/>
    <mergeCell ref="D11:E11"/>
    <mergeCell ref="H11:I11"/>
    <mergeCell ref="A78:A87"/>
    <mergeCell ref="A88:A89"/>
    <mergeCell ref="A56:A66"/>
    <mergeCell ref="D13:E13"/>
    <mergeCell ref="H13:I13"/>
    <mergeCell ref="D14:E14"/>
    <mergeCell ref="H14:I14"/>
    <mergeCell ref="A19:B19"/>
    <mergeCell ref="A20:B20"/>
    <mergeCell ref="A22:B22"/>
    <mergeCell ref="A23:A33"/>
    <mergeCell ref="A34:A44"/>
    <mergeCell ref="A45:A55"/>
    <mergeCell ref="A165:A166"/>
    <mergeCell ref="A167:C167"/>
    <mergeCell ref="E173:AC173"/>
    <mergeCell ref="A90:C90"/>
    <mergeCell ref="A21:B21"/>
    <mergeCell ref="A100:A110"/>
    <mergeCell ref="A111:A121"/>
    <mergeCell ref="A122:A132"/>
    <mergeCell ref="A133:A143"/>
    <mergeCell ref="A144:A154"/>
    <mergeCell ref="A155:A164"/>
    <mergeCell ref="A96:B96"/>
    <mergeCell ref="A97:B97"/>
    <mergeCell ref="A98:B98"/>
    <mergeCell ref="A99:B99"/>
    <mergeCell ref="A67:A7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34B4-B764-4216-8EC1-ABD40F527D89}">
  <dimension ref="B3:O17"/>
  <sheetViews>
    <sheetView zoomScale="170" workbookViewId="0">
      <selection activeCell="H20" sqref="H20"/>
    </sheetView>
  </sheetViews>
  <sheetFormatPr baseColWidth="10" defaultColWidth="8.83203125" defaultRowHeight="17" x14ac:dyDescent="0.2"/>
  <cols>
    <col min="1" max="2" width="8.83203125" style="17"/>
    <col min="3" max="3" width="13.33203125" style="17" customWidth="1"/>
    <col min="4" max="4" width="14.5" style="17" customWidth="1"/>
    <col min="5" max="5" width="12.33203125" style="17" customWidth="1"/>
    <col min="6" max="6" width="14" style="17" customWidth="1"/>
    <col min="7" max="7" width="13" style="17" customWidth="1"/>
    <col min="8" max="8" width="14.5" style="17" customWidth="1"/>
    <col min="9" max="9" width="10.83203125" style="17" customWidth="1"/>
    <col min="10" max="10" width="12.33203125" style="17" customWidth="1"/>
    <col min="11" max="11" width="10.1640625" style="17" customWidth="1"/>
    <col min="12" max="12" width="10.33203125" style="17" customWidth="1"/>
    <col min="13" max="16384" width="8.83203125" style="17"/>
  </cols>
  <sheetData>
    <row r="3" spans="2:15" x14ac:dyDescent="0.2">
      <c r="B3" s="103" t="s">
        <v>24</v>
      </c>
      <c r="C3" s="104"/>
      <c r="D3" s="104"/>
      <c r="E3" s="104"/>
      <c r="F3" s="104"/>
      <c r="G3" s="104"/>
      <c r="H3" s="104"/>
      <c r="I3" s="104"/>
      <c r="J3" s="104"/>
      <c r="K3" s="55"/>
      <c r="L3" s="55"/>
    </row>
    <row r="4" spans="2:15" x14ac:dyDescent="0.2">
      <c r="B4" s="11"/>
      <c r="C4" s="100" t="s">
        <v>70</v>
      </c>
      <c r="D4" s="100"/>
      <c r="E4" s="100" t="s">
        <v>76</v>
      </c>
      <c r="F4" s="100"/>
      <c r="G4" s="100" t="s">
        <v>74</v>
      </c>
      <c r="H4" s="100"/>
      <c r="I4" s="100" t="s">
        <v>71</v>
      </c>
      <c r="J4" s="101"/>
      <c r="K4" s="56"/>
      <c r="L4" s="56"/>
    </row>
    <row r="5" spans="2:15" s="40" customFormat="1" ht="18" x14ac:dyDescent="0.2">
      <c r="B5" s="38"/>
      <c r="C5" s="12" t="s">
        <v>7</v>
      </c>
      <c r="D5" s="13" t="s">
        <v>8</v>
      </c>
      <c r="E5" s="12" t="s">
        <v>7</v>
      </c>
      <c r="F5" s="13" t="s">
        <v>8</v>
      </c>
      <c r="G5" s="12" t="s">
        <v>7</v>
      </c>
      <c r="H5" s="13" t="s">
        <v>8</v>
      </c>
      <c r="I5" s="12" t="s">
        <v>7</v>
      </c>
      <c r="J5" s="50" t="s">
        <v>8</v>
      </c>
      <c r="K5" s="53"/>
      <c r="L5" s="53"/>
    </row>
    <row r="6" spans="2:15" x14ac:dyDescent="0.2">
      <c r="B6" s="58" t="s">
        <v>12</v>
      </c>
      <c r="C6" s="14">
        <v>104</v>
      </c>
      <c r="D6" s="15">
        <v>103</v>
      </c>
      <c r="E6" s="14">
        <v>103</v>
      </c>
      <c r="F6" s="15">
        <v>103</v>
      </c>
      <c r="G6" s="14">
        <v>102</v>
      </c>
      <c r="H6" s="15">
        <v>102</v>
      </c>
      <c r="I6" s="14">
        <v>105</v>
      </c>
      <c r="J6" s="51">
        <v>102</v>
      </c>
      <c r="K6" s="54"/>
      <c r="L6" s="54"/>
    </row>
    <row r="7" spans="2:15" x14ac:dyDescent="0.2">
      <c r="B7" s="58" t="s">
        <v>18</v>
      </c>
      <c r="C7" s="14">
        <v>92</v>
      </c>
      <c r="D7" s="15">
        <v>90</v>
      </c>
      <c r="E7" s="14">
        <v>86</v>
      </c>
      <c r="F7" s="15">
        <v>84</v>
      </c>
      <c r="G7" s="14">
        <v>92</v>
      </c>
      <c r="H7" s="15">
        <v>89</v>
      </c>
      <c r="I7" s="14">
        <v>86</v>
      </c>
      <c r="J7" s="51">
        <v>83</v>
      </c>
      <c r="K7" s="54"/>
      <c r="L7" s="54"/>
    </row>
    <row r="8" spans="2:15" x14ac:dyDescent="0.2">
      <c r="B8" s="30" t="s">
        <v>9</v>
      </c>
      <c r="C8" s="30">
        <f t="shared" ref="C8:H8" si="0">SUM(C6:C7)</f>
        <v>196</v>
      </c>
      <c r="D8" s="30">
        <f t="shared" si="0"/>
        <v>193</v>
      </c>
      <c r="E8" s="30">
        <f t="shared" si="0"/>
        <v>189</v>
      </c>
      <c r="F8" s="30">
        <f t="shared" si="0"/>
        <v>187</v>
      </c>
      <c r="G8" s="30">
        <f t="shared" si="0"/>
        <v>194</v>
      </c>
      <c r="H8" s="30">
        <f t="shared" si="0"/>
        <v>191</v>
      </c>
      <c r="I8" s="30">
        <f t="shared" ref="I8:J8" si="1">SUM(I6:I7)</f>
        <v>191</v>
      </c>
      <c r="J8" s="52">
        <f t="shared" si="1"/>
        <v>185</v>
      </c>
      <c r="K8" s="54"/>
      <c r="L8" s="54"/>
      <c r="N8" s="31"/>
      <c r="O8" s="31"/>
    </row>
    <row r="9" spans="2:15" x14ac:dyDescent="0.2">
      <c r="B9" s="1"/>
      <c r="C9" s="1"/>
      <c r="D9" s="1"/>
      <c r="E9" s="1"/>
      <c r="F9" s="1"/>
      <c r="G9" s="1"/>
      <c r="H9" s="1"/>
      <c r="J9" s="32"/>
      <c r="L9" s="31"/>
      <c r="M9" s="31"/>
    </row>
    <row r="10" spans="2:15" x14ac:dyDescent="0.2">
      <c r="B10" s="1"/>
      <c r="C10" s="1"/>
      <c r="D10" s="1"/>
      <c r="E10" s="1"/>
      <c r="F10" s="1"/>
      <c r="G10" s="1"/>
      <c r="H10" s="1"/>
      <c r="J10" s="32"/>
      <c r="L10" s="31"/>
      <c r="M10" s="31"/>
    </row>
    <row r="11" spans="2:15" x14ac:dyDescent="0.2">
      <c r="B11" s="1"/>
      <c r="C11" s="1"/>
      <c r="D11" s="1"/>
      <c r="E11" s="1"/>
      <c r="F11" s="1"/>
      <c r="G11" s="1"/>
      <c r="H11" s="1"/>
      <c r="J11" s="32"/>
      <c r="L11" s="31"/>
      <c r="M11" s="31"/>
    </row>
    <row r="12" spans="2:15" x14ac:dyDescent="0.2">
      <c r="B12" s="1"/>
      <c r="C12" s="1"/>
      <c r="D12" s="1"/>
      <c r="E12" s="102" t="s">
        <v>25</v>
      </c>
      <c r="F12" s="102"/>
      <c r="G12" s="1"/>
      <c r="H12" s="1"/>
      <c r="J12" s="32"/>
      <c r="L12" s="31"/>
      <c r="M12" s="31"/>
    </row>
    <row r="13" spans="2:15" ht="18" x14ac:dyDescent="0.2">
      <c r="B13" s="1"/>
      <c r="C13" s="1"/>
      <c r="D13" s="1"/>
      <c r="E13" s="12" t="s">
        <v>7</v>
      </c>
      <c r="F13" s="14">
        <f>SUM(C8,E8,G8,K8,I8)</f>
        <v>770</v>
      </c>
      <c r="G13" s="1"/>
      <c r="H13" s="1"/>
      <c r="J13" s="32"/>
      <c r="L13" s="31"/>
      <c r="M13" s="31"/>
    </row>
    <row r="14" spans="2:15" ht="18" x14ac:dyDescent="0.2">
      <c r="B14" s="1"/>
      <c r="C14" s="1"/>
      <c r="D14" s="1"/>
      <c r="E14" s="13" t="s">
        <v>8</v>
      </c>
      <c r="F14" s="15">
        <f>SUM(D8,F8,H8,L8,J8)</f>
        <v>756</v>
      </c>
      <c r="G14" s="1"/>
      <c r="H14" s="1"/>
      <c r="J14" s="32"/>
      <c r="L14" s="31"/>
      <c r="M14" s="31"/>
    </row>
    <row r="15" spans="2:15" x14ac:dyDescent="0.2">
      <c r="B15" s="1"/>
      <c r="C15" s="1"/>
      <c r="D15" s="1"/>
      <c r="E15" s="1"/>
      <c r="F15" s="1"/>
      <c r="G15" s="1"/>
      <c r="H15" s="1"/>
      <c r="J15" s="32"/>
      <c r="L15" s="31"/>
      <c r="M15" s="31"/>
    </row>
    <row r="16" spans="2:15" x14ac:dyDescent="0.2">
      <c r="J16" s="32"/>
      <c r="L16" s="31"/>
      <c r="M16" s="31"/>
    </row>
    <row r="17" spans="10:13" x14ac:dyDescent="0.2">
      <c r="J17" s="32"/>
      <c r="L17" s="31"/>
      <c r="M17" s="31"/>
    </row>
  </sheetData>
  <mergeCells count="6">
    <mergeCell ref="I4:J4"/>
    <mergeCell ref="E12:F12"/>
    <mergeCell ref="B3:J3"/>
    <mergeCell ref="C4:D4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Sprint1</vt:lpstr>
      <vt:lpstr>Sprint 2</vt:lpstr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</dc:creator>
  <cp:lastModifiedBy>Microsoft Office User</cp:lastModifiedBy>
  <dcterms:created xsi:type="dcterms:W3CDTF">2025-03-14T12:17:30Z</dcterms:created>
  <dcterms:modified xsi:type="dcterms:W3CDTF">2025-12-12T23:50:25Z</dcterms:modified>
</cp:coreProperties>
</file>